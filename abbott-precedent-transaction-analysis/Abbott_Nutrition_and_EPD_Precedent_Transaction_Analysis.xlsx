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 &amp; Assumptions" sheetId="2" state="visible" r:id="rId2"/>
    <sheet name="Nutrition Comps" sheetId="3" state="visible" r:id="rId3"/>
    <sheet name="EPD Comps" sheetId="4" state="visible" r:id="rId4"/>
    <sheet name="Valua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&quot;x&quot;"/>
    <numFmt numFmtId="166" formatCode="#,##0.0"/>
    <numFmt numFmtId="167" formatCode="#,##0.0&quot;bn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95959"/>
      <sz val="10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000CC"/>
      <sz val="10"/>
    </font>
    <font>
      <name val="Calibri"/>
      <sz val="10"/>
    </font>
    <font>
      <name val="Calibri"/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6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164" fontId="7" fillId="5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166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3" fontId="5" fillId="7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Analysis</author>
  </authors>
  <commentList>
    <comment ref="A12" authorId="0" shapeId="0">
      <text>
        <t>ESTIMATE. Abbott does not publish EBITDA by segment. = disclosed segment operating earnings + assumed D&amp;A add-back. See Sources tab note S4.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webull.com/news/12352164595459072" TargetMode="External" Id="rId1" /><Relationship Type="http://schemas.openxmlformats.org/officeDocument/2006/relationships/hyperlink" Target="https://bullfincher.io/companies/abbott-laboratories/revenue-by-segment" TargetMode="External" Id="rId2" /><Relationship Type="http://schemas.openxmlformats.org/officeDocument/2006/relationships/hyperlink" Target="https://www.webull.com/news/12352164595459072" TargetMode="External" Id="rId3" /><Relationship Type="http://schemas.openxmlformats.org/officeDocument/2006/relationships/hyperlink" Target="https://www.sec.gov/Archives/edgar/data/0000001800/000162828024044602/abt-20240930.htm" TargetMode="External" Id="rId4" /><Relationship Type="http://schemas.openxmlformats.org/officeDocument/2006/relationships/hyperlink" Target="https://inter.capital/recent-mas-in-the-european-pharma-generics-industry/" TargetMode="External" Id="rId5" /><Relationship Type="http://schemas.openxmlformats.org/officeDocument/2006/relationships/hyperlink" Target="http://media.corporate-ir.net/media_files/irol/95/95168/presentations/company/2007/090707_Numico_Prez_Analystes_v16.pdf" TargetMode="External" Id="rId6" /><Relationship Type="http://schemas.openxmlformats.org/officeDocument/2006/relationships/hyperlink" Target="http://www.washingtonpost.com/wp-dyn/content/article/2007/04/12/AR2007041200372.html" TargetMode="External" Id="rId7" /><Relationship Type="http://schemas.openxmlformats.org/officeDocument/2006/relationships/hyperlink" Target="https://www.proactiveinvestors.com/companies/news/85559/pfizer-sells-nutrition-business-to-nestl-for-1185-bln-28063.html" TargetMode="External" Id="rId8" /><Relationship Type="http://schemas.openxmlformats.org/officeDocument/2006/relationships/hyperlink" Target="https://www.foodnavigator-usa.com/Article/2016/07/07/Danone-to-acquire-WhiteWave-Foods-in-12.5bn-deal/" TargetMode="External" Id="rId9" /><Relationship Type="http://schemas.openxmlformats.org/officeDocument/2006/relationships/hyperlink" Target="https://bsic.it/go-big-go-home-reckitt-benckiser-acquire-mead-johnson-17-9bn/" TargetMode="External" Id="rId10" /><Relationship Type="http://schemas.openxmlformats.org/officeDocument/2006/relationships/hyperlink" Target="https://www.sec.gov/Archives/edgar/data/0000850693/000119312515086653/d889402dex991.htm" TargetMode="External" Id="rId11" /><Relationship Type="http://schemas.openxmlformats.org/officeDocument/2006/relationships/hyperlink" Target="https://www.sec.gov/Archives/edgar/data/0001623613/000119312516766807/d263574dex991.htm" TargetMode="External" Id="rId12" /><Relationship Type="http://schemas.openxmlformats.org/officeDocument/2006/relationships/hyperlink" Target="https://bsic.it/going-one-going-twice-sold-cinven-bain-capital-acquire-stada-e5-3bn-intense-bidding-war/" TargetMode="External" Id="rId13" /><Relationship Type="http://schemas.openxmlformats.org/officeDocument/2006/relationships/hyperlink" Target="https://inter.capital/recent-mas-in-the-european-pharma-generics-industry/" TargetMode="External" Id="rId14" /><Relationship Type="http://schemas.openxmlformats.org/officeDocument/2006/relationships/hyperlink" Target="https://www.businesswire.com/news/home/20250901671846/en/CapVest-to-Acquire-Majority-Stake-in-STADA-from-Bain-Capital-and-Cinven" TargetMode="External" Id="rId15" /><Relationship Type="http://schemas.openxmlformats.org/officeDocument/2006/relationships/hyperlink" Target="https://finance.yahoo.com/sectors/healthcare/articles/abbott-laboratories-contest-damages-awarded-111141543.html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7" customWidth="1" min="3" max="3"/>
    <col width="14" customWidth="1" min="4" max="4"/>
    <col width="14" customWidth="1" min="5" max="5"/>
    <col width="20" customWidth="1" min="6" max="6"/>
  </cols>
  <sheetData>
    <row r="1" ht="30" customHeight="1">
      <c r="A1" s="1" t="inlineStr">
        <is>
          <t>Abbott — Precedent Transaction Analysis</t>
        </is>
      </c>
    </row>
    <row r="2">
      <c r="A2" s="2" t="inlineStr">
        <is>
          <t>Potential divestiture of Nutrition and Established Pharmaceuticals (EPD)  •  FY2024 basis  •  Indicative / discussion draft</t>
        </is>
      </c>
    </row>
    <row r="4">
      <c r="A4" s="3" t="inlineStr">
        <is>
          <t>Headline indicative EV. Build = Valuation tab; assumptions = Inputs tab; every figure sourced/flagged on Sources &amp; Methodology tab.</t>
        </is>
      </c>
    </row>
    <row r="6">
      <c r="A6" s="4" t="inlineStr">
        <is>
          <t>Business</t>
        </is>
      </c>
      <c r="B6" s="4" t="inlineStr">
        <is>
          <t>FY24 Sales ($bn)</t>
        </is>
      </c>
      <c r="C6" s="4" t="inlineStr">
        <is>
          <t>Est. EBITDA ($bn)</t>
        </is>
      </c>
      <c r="D6" s="4" t="inlineStr">
        <is>
          <t>EV/Sales</t>
        </is>
      </c>
      <c r="E6" s="4" t="inlineStr">
        <is>
          <t>EV/EBITDA</t>
        </is>
      </c>
      <c r="F6" s="4" t="inlineStr">
        <is>
          <t>Indicative EV ($bn)</t>
        </is>
      </c>
    </row>
    <row r="7">
      <c r="A7" s="5" t="inlineStr">
        <is>
          <t>Nutrition</t>
        </is>
      </c>
      <c r="B7" s="6">
        <f>'Inputs &amp; Assumptions'!B8/1000</f>
        <v/>
      </c>
      <c r="C7" s="6">
        <f>'Inputs &amp; Assumptions'!B12/1000</f>
        <v/>
      </c>
      <c r="D7" s="7">
        <f>TEXT('Inputs &amp; Assumptions'!B17,"0.0")&amp;"-"&amp;TEXT('Inputs &amp; Assumptions'!C17,"0.0")&amp;"x"</f>
        <v/>
      </c>
      <c r="E7" s="7">
        <f>TEXT('Inputs &amp; Assumptions'!B18,"0.0")&amp;"-"&amp;TEXT('Inputs &amp; Assumptions'!C18,"0.0")&amp;"x"</f>
        <v/>
      </c>
      <c r="F7" s="8">
        <f>TEXT(Valuation!D8/1000,"0")&amp;"-"&amp;TEXT(Valuation!E8/1000,"0")&amp;"bn"</f>
        <v/>
      </c>
    </row>
    <row r="8">
      <c r="A8" s="9" t="inlineStr">
        <is>
          <t>Established Pharmaceuticals (EPD)</t>
        </is>
      </c>
      <c r="B8" s="10">
        <f>'Inputs &amp; Assumptions'!C8/1000</f>
        <v/>
      </c>
      <c r="C8" s="10">
        <f>'Inputs &amp; Assumptions'!C12/1000</f>
        <v/>
      </c>
      <c r="D8" s="11">
        <f>TEXT('Inputs &amp; Assumptions'!D17,"0.0")&amp;"-"&amp;TEXT('Inputs &amp; Assumptions'!E17,"0.0")&amp;"x"</f>
        <v/>
      </c>
      <c r="E8" s="11">
        <f>TEXT('Inputs &amp; Assumptions'!D18,"0.0")&amp;"-"&amp;TEXT('Inputs &amp; Assumptions'!E18,"0.0")&amp;"x"</f>
        <v/>
      </c>
      <c r="F8" s="12">
        <f>TEXT(Valuation!D14/1000,"0")&amp;"-"&amp;TEXT(Valuation!E14/1000,"0")&amp;"bn"</f>
        <v/>
      </c>
    </row>
    <row r="9">
      <c r="A9" s="13" t="inlineStr">
        <is>
          <t>Combined</t>
        </is>
      </c>
      <c r="B9" s="14">
        <f>('Inputs &amp; Assumptions'!B8+'Inputs &amp; Assumptions'!C8)/1000</f>
        <v/>
      </c>
      <c r="C9" s="14">
        <f>('Inputs &amp; Assumptions'!B12+'Inputs &amp; Assumptions'!C12)/1000</f>
        <v/>
      </c>
      <c r="D9" s="15" t="inlineStr">
        <is>
          <t>—</t>
        </is>
      </c>
      <c r="E9" s="15" t="inlineStr">
        <is>
          <t>—</t>
        </is>
      </c>
      <c r="F9" s="16">
        <f>TEXT((Valuation!D8+Valuation!D14)/1000,"0")&amp;"-"&amp;TEXT((Valuation!E8+Valuation!E14)/1000,"0")&amp;"bn"</f>
        <v/>
      </c>
    </row>
    <row r="11">
      <c r="A11" s="17" t="inlineStr">
        <is>
          <t>Key points</t>
        </is>
      </c>
    </row>
    <row r="12" ht="30" customHeight="1">
      <c r="A12" s="18" t="inlineStr">
        <is>
          <t>•  EPD: high-growth (+9.2%), high-margin (23.7%) EM branded generics — premium end of the branded-generics deal range.</t>
        </is>
      </c>
    </row>
    <row r="13" ht="30" customHeight="1">
      <c r="A13" s="18" t="inlineStr">
        <is>
          <t>•  Nutrition: two-speed — growing adult/medical nutrition (Ensure, Glucerna) vs. structurally challenged infant formula (Similac) with an NEC litigation overhang [S19].</t>
        </is>
      </c>
    </row>
    <row r="14" ht="30" customHeight="1">
      <c r="A14" s="18" t="inlineStr">
        <is>
          <t>•  Peak infant-formula comps (Reckitt/MJN 17.4x; Nestlé/Pfizer ~20-24x) discounted for Nutrition's blend and litigation risk.</t>
        </is>
      </c>
    </row>
    <row r="15" ht="30" customHeight="1">
      <c r="A15" s="18" t="inlineStr">
        <is>
          <t>•  Sum-of-the-parts optionality: adult nutrition at consumer-health multiples while ring-fencing infant formula could exceed the blended range.</t>
        </is>
      </c>
    </row>
    <row r="16" ht="30" customHeight="1">
      <c r="A16" s="18" t="inlineStr">
        <is>
          <t>•  EBITDA is ESTIMATED (Abbott discloses segment margin, not EBITDA). Every figure's basis is on the Sources &amp; Methodology tab.</t>
        </is>
      </c>
    </row>
    <row r="18">
      <c r="A18" s="3" t="inlineStr">
        <is>
          <t>Tabs:  Summary  ·  Inputs &amp; Assumptions  ·  Nutrition Comps  ·  EPD Comps  ·  Valuation  ·  Sources &amp; Methodology</t>
        </is>
      </c>
    </row>
  </sheetData>
  <mergeCells count="7">
    <mergeCell ref="A2:F2"/>
    <mergeCell ref="A16:F16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52" customWidth="1" min="4" max="4"/>
  </cols>
  <sheetData>
    <row r="1" ht="30" customHeight="1">
      <c r="A1" s="1" t="inlineStr">
        <is>
          <t>Abbott — Nutrition &amp; EPD Divestiture  |  Inputs &amp; Assumptions</t>
        </is>
      </c>
    </row>
    <row r="2">
      <c r="A2" s="2" t="inlineStr">
        <is>
          <t>Blue = input cells (change to recalc). FY2024 reported basis. EBITDA is ESTIMATED — see 'Sources &amp; Methodology' tab for the basis of every figure.</t>
        </is>
      </c>
    </row>
    <row r="4">
      <c r="A4" s="3" t="inlineStr">
        <is>
          <t>Blue figures are drivers. $ figures in US$ millions unless noted. Ref column shows source/estimate basis (full detail on Sources tab).</t>
        </is>
      </c>
    </row>
    <row r="6">
      <c r="A6" s="17" t="inlineStr">
        <is>
          <t>Target sizing (FY2024)</t>
        </is>
      </c>
    </row>
    <row r="7">
      <c r="A7" s="4" t="inlineStr">
        <is>
          <t>Metric</t>
        </is>
      </c>
      <c r="B7" s="4" t="inlineStr">
        <is>
          <t>Nutrition</t>
        </is>
      </c>
      <c r="C7" s="4" t="inlineStr">
        <is>
          <t>EPD</t>
        </is>
      </c>
      <c r="D7" s="4" t="inlineStr">
        <is>
          <t>Basis / source (see Sources tab)</t>
        </is>
      </c>
    </row>
    <row r="8">
      <c r="A8" s="5" t="inlineStr">
        <is>
          <t>FY24 net sales ($m)</t>
        </is>
      </c>
      <c r="B8" s="19" t="n">
        <v>8410</v>
      </c>
      <c r="C8" s="19" t="n">
        <v>5190</v>
      </c>
      <c r="D8" s="20" t="inlineStr">
        <is>
          <t>REPORTED — Abbott FY24 segment reporting [S1, S2]</t>
        </is>
      </c>
    </row>
    <row r="9">
      <c r="A9" s="5" t="inlineStr">
        <is>
          <t>FY24 segment operating margin</t>
        </is>
      </c>
      <c r="B9" s="21" t="n">
        <v>0.179</v>
      </c>
      <c r="C9" s="21" t="n">
        <v>0.237</v>
      </c>
      <c r="D9" s="20" t="inlineStr">
        <is>
          <t>REPORTED — Abbott (Nutrition 17.9%, EPD 23.7%) [S3]</t>
        </is>
      </c>
    </row>
    <row r="10">
      <c r="A10" s="5" t="inlineStr">
        <is>
          <t>Assumed D&amp;A add-back (% sales)</t>
        </is>
      </c>
      <c r="B10" s="21" t="n">
        <v>0.0375</v>
      </c>
      <c r="C10" s="21" t="n">
        <v>0.0275</v>
      </c>
      <c r="D10" s="20" t="inlineStr">
        <is>
          <t>ESTIMATE — benchmarked to group D&amp;A ~7.7% of sales (amort. concentrated in MedDev/Dx) [S4]</t>
        </is>
      </c>
    </row>
    <row r="11">
      <c r="A11" s="9" t="inlineStr">
        <is>
          <t>Implied segment operating earnings ($m)</t>
        </is>
      </c>
      <c r="B11" s="22">
        <f>B8*B9</f>
        <v/>
      </c>
      <c r="C11" s="22">
        <f>C8*C9</f>
        <v/>
      </c>
      <c r="D11" s="23" t="inlineStr">
        <is>
          <t>DERIVED = sales x operating margin</t>
        </is>
      </c>
    </row>
    <row r="12">
      <c r="A12" s="24" t="inlineStr">
        <is>
          <t>Estimated EBITDA ($m)</t>
        </is>
      </c>
      <c r="B12" s="25">
        <f>B8*(B9+B10)</f>
        <v/>
      </c>
      <c r="C12" s="25">
        <f>C8*(C9+C10)</f>
        <v/>
      </c>
      <c r="D12" s="26" t="inlineStr">
        <is>
          <t>ESTIMATE = operating earnings + D&amp;A add-back</t>
        </is>
      </c>
    </row>
    <row r="13">
      <c r="A13" s="27" t="inlineStr">
        <is>
          <t>Implied EBITDA margin</t>
        </is>
      </c>
      <c r="B13" s="28">
        <f>B12/B8</f>
        <v/>
      </c>
      <c r="C13" s="28">
        <f>C12/C8</f>
        <v/>
      </c>
      <c r="D13" s="26" t="inlineStr">
        <is>
          <t>DERIVED</t>
        </is>
      </c>
    </row>
    <row r="15">
      <c r="A15" s="17" t="inlineStr">
        <is>
          <t>Selected multiple ranges (judgement — see rationale below)</t>
        </is>
      </c>
    </row>
    <row r="16">
      <c r="A16" s="4" t="inlineStr">
        <is>
          <t>Multiple</t>
        </is>
      </c>
      <c r="B16" s="4" t="inlineStr">
        <is>
          <t>Nutrition low</t>
        </is>
      </c>
      <c r="C16" s="4" t="inlineStr">
        <is>
          <t>Nutrition high</t>
        </is>
      </c>
      <c r="D16" s="4" t="inlineStr">
        <is>
          <t>EPD low</t>
        </is>
      </c>
      <c r="E16" s="4" t="inlineStr">
        <is>
          <t>EPD high</t>
        </is>
      </c>
    </row>
    <row r="17">
      <c r="A17" s="5" t="inlineStr">
        <is>
          <t>EV / Sales</t>
        </is>
      </c>
      <c r="B17" s="29" t="n">
        <v>2</v>
      </c>
      <c r="C17" s="29" t="n">
        <v>3</v>
      </c>
      <c r="D17" s="29" t="n">
        <v>2.5</v>
      </c>
      <c r="E17" s="29" t="n">
        <v>3.5</v>
      </c>
    </row>
    <row r="18">
      <c r="A18" s="5" t="inlineStr">
        <is>
          <t>EV / EBITDA</t>
        </is>
      </c>
      <c r="B18" s="29" t="n">
        <v>11</v>
      </c>
      <c r="C18" s="29" t="n">
        <v>15</v>
      </c>
      <c r="D18" s="29" t="n">
        <v>11</v>
      </c>
      <c r="E18" s="29" t="n">
        <v>14</v>
      </c>
    </row>
    <row r="20">
      <c r="A20" s="17" t="inlineStr">
        <is>
          <t>Rationale for selected ranges</t>
        </is>
      </c>
    </row>
    <row r="21" ht="28" customHeight="1">
      <c r="A21" s="18" t="inlineStr">
        <is>
          <t>•  Nutrition: peak infant-formula comps (Reckitt/MJN 17.4x, Nestlé/Pfizer ~20-24x) DISCOUNTED for blended adult+pediatric mix and the NEC litigation overhang [S5].</t>
        </is>
      </c>
    </row>
    <row r="22" ht="28" customHeight="1">
      <c r="A22" s="18" t="inlineStr">
        <is>
          <t>•  EPD: premium end of branded-generics range (STADA 13.4x / 11.3x; Krka ~11.5x) given +9.2% growth and 23.7% margin; above mature Western generics (Hikma/Richter ~6x) [S6].</t>
        </is>
      </c>
    </row>
    <row r="23" ht="28" customHeight="1">
      <c r="A23" s="18" t="inlineStr">
        <is>
          <t>•  EBITDA is ESTIMATED — Abbott discloses segment operating margin, not segment EBITDA. Refine with carve-out quality-of-earnings financials [S4].</t>
        </is>
      </c>
    </row>
  </sheetData>
  <mergeCells count="5">
    <mergeCell ref="A2:F2"/>
    <mergeCell ref="A1:F1"/>
    <mergeCell ref="A23:F23"/>
    <mergeCell ref="A22:F22"/>
    <mergeCell ref="A21:F2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24" customWidth="1" min="3" max="3"/>
    <col width="10" customWidth="1" min="4" max="4"/>
    <col width="11" customWidth="1" min="5" max="5"/>
    <col width="12" customWidth="1" min="6" max="6"/>
    <col width="30" customWidth="1" min="7" max="7"/>
    <col width="11" customWidth="1" min="8" max="8"/>
    <col width="42" customWidth="1" min="9" max="9"/>
  </cols>
  <sheetData>
    <row r="1" ht="30" customHeight="1">
      <c r="A1" s="1" t="inlineStr">
        <is>
          <t>Nutrition Comps</t>
        </is>
      </c>
    </row>
    <row r="2">
      <c r="A2" s="2" t="inlineStr">
        <is>
          <t>Precedent transactions — infant + adult/medical nutrition. 'Mult. basis' flags Reported vs Derived vs estimate. Full citations on Sources tab.</t>
        </is>
      </c>
    </row>
    <row r="4">
      <c r="A4" s="4" t="inlineStr">
        <is>
          <t>Year</t>
        </is>
      </c>
      <c r="B4" s="4" t="inlineStr">
        <is>
          <t>Acquirer</t>
        </is>
      </c>
      <c r="C4" s="4" t="inlineStr">
        <is>
          <t>Target</t>
        </is>
      </c>
      <c r="D4" s="4" t="inlineStr">
        <is>
          <t>EV ($bn)</t>
        </is>
      </c>
      <c r="E4" s="4" t="inlineStr">
        <is>
          <t>EV/Sales</t>
        </is>
      </c>
      <c r="F4" s="4" t="inlineStr">
        <is>
          <t>EV/EBITDA</t>
        </is>
      </c>
      <c r="G4" s="4" t="inlineStr">
        <is>
          <t>Mult. basis</t>
        </is>
      </c>
      <c r="H4" s="4" t="inlineStr">
        <is>
          <t>Source ref</t>
        </is>
      </c>
      <c r="I4" s="4" t="inlineStr">
        <is>
          <t>Notes</t>
        </is>
      </c>
    </row>
    <row r="5">
      <c r="A5" s="7" t="n">
        <v>2007</v>
      </c>
      <c r="B5" s="20" t="inlineStr">
        <is>
          <t>Danone</t>
        </is>
      </c>
      <c r="C5" s="5" t="inlineStr">
        <is>
          <t>Numico</t>
        </is>
      </c>
      <c r="D5" s="6" t="n">
        <v>16.8</v>
      </c>
      <c r="E5" s="30" t="n">
        <v>4.7</v>
      </c>
      <c r="F5" s="30" t="n">
        <v>22</v>
      </c>
      <c r="G5" s="20" t="inlineStr">
        <is>
          <t>EV/S derived (÷FY06 sales €2.6bn); EBITDA per press</t>
        </is>
      </c>
      <c r="H5" s="7" t="inlineStr">
        <is>
          <t>S7</t>
        </is>
      </c>
      <c r="I5" s="20" t="inlineStr">
        <is>
          <t>Baby + medical nutrition; peak strategic multiple</t>
        </is>
      </c>
    </row>
    <row r="6">
      <c r="A6" s="11" t="n">
        <v>2007</v>
      </c>
      <c r="B6" s="31" t="inlineStr">
        <is>
          <t>Nestlé</t>
        </is>
      </c>
      <c r="C6" s="9" t="inlineStr">
        <is>
          <t>Gerber (Novartis)</t>
        </is>
      </c>
      <c r="D6" s="10" t="n">
        <v>5.5</v>
      </c>
      <c r="E6" s="32" t="n">
        <v>2.8</v>
      </c>
      <c r="F6" s="32" t="n">
        <v>15.7</v>
      </c>
      <c r="G6" s="31" t="inlineStr">
        <is>
          <t>EV/S derived; EBITDA reported (15.7x FY07e)</t>
        </is>
      </c>
      <c r="H6" s="11" t="inlineStr">
        <is>
          <t>S8</t>
        </is>
      </c>
      <c r="I6" s="31" t="inlineStr">
        <is>
          <t>Made Nestlé #1 in baby food</t>
        </is>
      </c>
    </row>
    <row r="7">
      <c r="A7" s="7" t="n">
        <v>2012</v>
      </c>
      <c r="B7" s="20" t="inlineStr">
        <is>
          <t>Nestlé</t>
        </is>
      </c>
      <c r="C7" s="5" t="inlineStr">
        <is>
          <t>Pfizer Nutrition</t>
        </is>
      </c>
      <c r="D7" s="6" t="n">
        <v>11.85</v>
      </c>
      <c r="E7" s="30" t="n">
        <v>5</v>
      </c>
      <c r="F7" s="30" t="n">
        <v>23.7</v>
      </c>
      <c r="G7" s="20" t="inlineStr">
        <is>
          <t>EV/S derived (4.9x FY12e / 5.6x FY11); EBITDA derived ($0.5bn '11); press ~20x fwd</t>
        </is>
      </c>
      <c r="H7" s="7" t="inlineStr">
        <is>
          <t>S9</t>
        </is>
      </c>
      <c r="I7" s="20" t="inlineStr">
        <is>
          <t>EM (China) entry</t>
        </is>
      </c>
    </row>
    <row r="8">
      <c r="A8" s="11" t="n">
        <v>2017</v>
      </c>
      <c r="B8" s="31" t="inlineStr">
        <is>
          <t>Danone</t>
        </is>
      </c>
      <c r="C8" s="9" t="inlineStr">
        <is>
          <t>WhiteWave</t>
        </is>
      </c>
      <c r="D8" s="10" t="n">
        <v>12.5</v>
      </c>
      <c r="E8" s="32" t="n">
        <v>2.7</v>
      </c>
      <c r="F8" s="32" t="n">
        <v>20</v>
      </c>
      <c r="G8" s="31" t="inlineStr">
        <is>
          <t>EV/S reported (FY17); EBITDA reported (~19.8-20x FY16e)</t>
        </is>
      </c>
      <c r="H8" s="11" t="inlineStr">
        <is>
          <t>S10</t>
        </is>
      </c>
      <c r="I8" s="31" t="inlineStr">
        <is>
          <t>Organic/plant-based; lower-multiple bookend (not infant)</t>
        </is>
      </c>
    </row>
    <row r="9">
      <c r="A9" s="7" t="n">
        <v>2017</v>
      </c>
      <c r="B9" s="20" t="inlineStr">
        <is>
          <t>Reckitt Benckiser</t>
        </is>
      </c>
      <c r="C9" s="5" t="inlineStr">
        <is>
          <t>Mead Johnson</t>
        </is>
      </c>
      <c r="D9" s="6" t="n">
        <v>17.9</v>
      </c>
      <c r="E9" s="30" t="n">
        <v>4.4</v>
      </c>
      <c r="F9" s="30" t="n">
        <v>17.4</v>
      </c>
      <c r="G9" s="20" t="inlineStr">
        <is>
          <t>EV/S reported (FY15); EBITDA reported (FY16)</t>
        </is>
      </c>
      <c r="H9" s="7" t="inlineStr">
        <is>
          <t>S11</t>
        </is>
      </c>
      <c r="I9" s="20" t="inlineStr">
        <is>
          <t>Pure-play infant formula; closest single comp (~14x w/ synergies)</t>
        </is>
      </c>
    </row>
    <row r="10">
      <c r="A10" s="11" t="n">
        <v>2021</v>
      </c>
      <c r="B10" s="31" t="inlineStr">
        <is>
          <t>Nestlé</t>
        </is>
      </c>
      <c r="C10" s="9" t="inlineStr">
        <is>
          <t>The Bountiful Company</t>
        </is>
      </c>
      <c r="D10" s="10" t="n">
        <v>5.75</v>
      </c>
      <c r="E10" s="32" t="n">
        <v>2.9</v>
      </c>
      <c r="F10" s="11" t="inlineStr">
        <is>
          <t>n/d</t>
        </is>
      </c>
      <c r="G10" s="31" t="inlineStr">
        <is>
          <t>EV/S derived (÷~$2.0bn sales); EBITDA n/d</t>
        </is>
      </c>
      <c r="H10" s="11" t="inlineStr">
        <is>
          <t>S12</t>
        </is>
      </c>
      <c r="I10" s="31" t="inlineStr">
        <is>
          <t>Vitamins/supplements; adult-nutrition-adjacent</t>
        </is>
      </c>
    </row>
    <row r="11">
      <c r="A11" s="33" t="inlineStr">
        <is>
          <t>Median</t>
        </is>
      </c>
      <c r="B11" s="34" t="inlineStr"/>
      <c r="C11" s="34" t="inlineStr"/>
      <c r="D11" s="35">
        <f>MEDIAN(D5:D10)</f>
        <v/>
      </c>
      <c r="E11" s="36">
        <f>MEDIAN(E5:E10)</f>
        <v/>
      </c>
      <c r="F11" s="36">
        <f>MEDIAN(F5:F10)</f>
        <v/>
      </c>
      <c r="G11" s="34" t="inlineStr"/>
      <c r="H11" s="34" t="inlineStr"/>
      <c r="I11" s="34" t="inlineStr"/>
    </row>
    <row r="12">
      <c r="A12" s="33" t="inlineStr">
        <is>
          <t>Mean</t>
        </is>
      </c>
      <c r="B12" s="34" t="inlineStr"/>
      <c r="C12" s="34" t="inlineStr"/>
      <c r="D12" s="35">
        <f>AVERAGE(D5:D10)</f>
        <v/>
      </c>
      <c r="E12" s="36">
        <f>AVERAGE(E5:E10)</f>
        <v/>
      </c>
      <c r="F12" s="36">
        <f>AVERAGE(F5:F10)</f>
        <v/>
      </c>
      <c r="G12" s="34" t="inlineStr"/>
      <c r="H12" s="34" t="inlineStr"/>
      <c r="I12" s="34" t="inlineStr"/>
    </row>
    <row r="13">
      <c r="A13" s="3" t="inlineStr">
        <is>
          <t>n/d = not disclosed / not reliably sourced (excluded from median &amp; mean).</t>
        </is>
      </c>
    </row>
  </sheetData>
  <mergeCells count="3">
    <mergeCell ref="A1:I1"/>
    <mergeCell ref="A13:I13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24" customWidth="1" min="3" max="3"/>
    <col width="10" customWidth="1" min="4" max="4"/>
    <col width="11" customWidth="1" min="5" max="5"/>
    <col width="12" customWidth="1" min="6" max="6"/>
    <col width="30" customWidth="1" min="7" max="7"/>
    <col width="11" customWidth="1" min="8" max="8"/>
    <col width="42" customWidth="1" min="9" max="9"/>
  </cols>
  <sheetData>
    <row r="1" ht="30" customHeight="1">
      <c r="A1" s="1" t="inlineStr">
        <is>
          <t>EPD Comps</t>
        </is>
      </c>
    </row>
    <row r="2">
      <c r="A2" s="2" t="inlineStr">
        <is>
          <t>Precedent transactions — branded / EM generics. Listed reads for context: Krka ~11.5x, Hikma ~6.3x, Richter ~6x EV/EBITDA [S6].</t>
        </is>
      </c>
    </row>
    <row r="4">
      <c r="A4" s="4" t="inlineStr">
        <is>
          <t>Year</t>
        </is>
      </c>
      <c r="B4" s="4" t="inlineStr">
        <is>
          <t>Acquirer</t>
        </is>
      </c>
      <c r="C4" s="4" t="inlineStr">
        <is>
          <t>Target</t>
        </is>
      </c>
      <c r="D4" s="4" t="inlineStr">
        <is>
          <t>EV ($bn)</t>
        </is>
      </c>
      <c r="E4" s="4" t="inlineStr">
        <is>
          <t>EV/Sales</t>
        </is>
      </c>
      <c r="F4" s="4" t="inlineStr">
        <is>
          <t>EV/EBITDA</t>
        </is>
      </c>
      <c r="G4" s="4" t="inlineStr">
        <is>
          <t>Mult. basis</t>
        </is>
      </c>
      <c r="H4" s="4" t="inlineStr">
        <is>
          <t>Source ref</t>
        </is>
      </c>
      <c r="I4" s="4" t="inlineStr">
        <is>
          <t>Notes</t>
        </is>
      </c>
    </row>
    <row r="5">
      <c r="A5" s="7" t="n">
        <v>2014</v>
      </c>
      <c r="B5" s="20" t="inlineStr">
        <is>
          <t>Sun Pharma</t>
        </is>
      </c>
      <c r="C5" s="5" t="inlineStr">
        <is>
          <t>Ranbaxy</t>
        </is>
      </c>
      <c r="D5" s="6" t="n">
        <v>4</v>
      </c>
      <c r="E5" s="30" t="n">
        <v>2.2</v>
      </c>
      <c r="F5" s="7" t="inlineStr">
        <is>
          <t>n/d</t>
        </is>
      </c>
      <c r="G5" s="20" t="inlineStr">
        <is>
          <t>EV/S derived (÷~$1.8bn sales); EBITDA n/d (low margin)</t>
        </is>
      </c>
      <c r="H5" s="7" t="inlineStr">
        <is>
          <t>S13</t>
        </is>
      </c>
      <c r="I5" s="20" t="inlineStr">
        <is>
          <t>India/EM generics consolidation</t>
        </is>
      </c>
    </row>
    <row r="6">
      <c r="A6" s="11" t="n">
        <v>2015</v>
      </c>
      <c r="B6" s="31" t="inlineStr">
        <is>
          <t>Teva</t>
        </is>
      </c>
      <c r="C6" s="9" t="inlineStr">
        <is>
          <t>Allergan Generics (Actavis)</t>
        </is>
      </c>
      <c r="D6" s="10" t="n">
        <v>40.5</v>
      </c>
      <c r="E6" s="11" t="inlineStr">
        <is>
          <t>n/d</t>
        </is>
      </c>
      <c r="F6" s="11" t="inlineStr">
        <is>
          <t>n/d</t>
        </is>
      </c>
      <c r="G6" s="31" t="inlineStr">
        <is>
          <t>EV reported; multiples n/d (analyst ~12-13x w/ synergies)</t>
        </is>
      </c>
      <c r="H6" s="11" t="inlineStr">
        <is>
          <t>S14</t>
        </is>
      </c>
      <c r="I6" s="31" t="inlineStr">
        <is>
          <t>Global generics scale; widely viewed as full price</t>
        </is>
      </c>
    </row>
    <row r="7">
      <c r="A7" s="7" t="n">
        <v>2016</v>
      </c>
      <c r="B7" s="20" t="inlineStr">
        <is>
          <t>Mylan</t>
        </is>
      </c>
      <c r="C7" s="5" t="inlineStr">
        <is>
          <t>Meda</t>
        </is>
      </c>
      <c r="D7" s="6" t="n">
        <v>9.9</v>
      </c>
      <c r="E7" s="30" t="n">
        <v>4</v>
      </c>
      <c r="F7" s="30" t="n">
        <v>10.5</v>
      </c>
      <c r="G7" s="20" t="inlineStr">
        <is>
          <t>EV/S derived (~4x FY15 sales); EBITDA reported (8.9x w/ syn; ~10-11x rep.)</t>
        </is>
      </c>
      <c r="H7" s="7" t="inlineStr">
        <is>
          <t>S15</t>
        </is>
      </c>
      <c r="I7" s="20" t="inlineStr">
        <is>
          <t>Branded/specialty + EM/OTC reach</t>
        </is>
      </c>
    </row>
    <row r="8">
      <c r="A8" s="11" t="n">
        <v>2017</v>
      </c>
      <c r="B8" s="31" t="inlineStr">
        <is>
          <t>Bain / Cinven</t>
        </is>
      </c>
      <c r="C8" s="9" t="inlineStr">
        <is>
          <t>STADA</t>
        </is>
      </c>
      <c r="D8" s="10" t="n">
        <v>5.7</v>
      </c>
      <c r="E8" s="32" t="n">
        <v>2.5</v>
      </c>
      <c r="F8" s="32" t="n">
        <v>13.4</v>
      </c>
      <c r="G8" s="31" t="inlineStr">
        <is>
          <t>EV/S derived (÷FY16 sales €2.14bn); EBITDA reported (FY16)</t>
        </is>
      </c>
      <c r="H8" s="11" t="inlineStr">
        <is>
          <t>S16</t>
        </is>
      </c>
      <c r="I8" s="31" t="inlineStr">
        <is>
          <t>PE take-private; branded generics + consumer health</t>
        </is>
      </c>
    </row>
    <row r="9">
      <c r="A9" s="7" t="n">
        <v>2018</v>
      </c>
      <c r="B9" s="20" t="inlineStr">
        <is>
          <t>Advent</t>
        </is>
      </c>
      <c r="C9" s="5" t="inlineStr">
        <is>
          <t>Zentiva (Sanofi EU gen.)</t>
        </is>
      </c>
      <c r="D9" s="6" t="n">
        <v>2.1</v>
      </c>
      <c r="E9" s="30" t="n">
        <v>2.5</v>
      </c>
      <c r="F9" s="30" t="n">
        <v>10.3</v>
      </c>
      <c r="G9" s="20" t="inlineStr">
        <is>
          <t>EV/S derived (approx); EBITDA reported (10.25x)</t>
        </is>
      </c>
      <c r="H9" s="7" t="inlineStr">
        <is>
          <t>S17</t>
        </is>
      </c>
      <c r="I9" s="20" t="inlineStr">
        <is>
          <t>EU/EM branded-generics carve-out</t>
        </is>
      </c>
    </row>
    <row r="10">
      <c r="A10" s="11" t="n">
        <v>2025</v>
      </c>
      <c r="B10" s="31" t="inlineStr">
        <is>
          <t>CapVest</t>
        </is>
      </c>
      <c r="C10" s="9" t="inlineStr">
        <is>
          <t>STADA (majority stake)</t>
        </is>
      </c>
      <c r="D10" s="10" t="n">
        <v>10</v>
      </c>
      <c r="E10" s="32" t="n">
        <v>2.4</v>
      </c>
      <c r="F10" s="32" t="n">
        <v>11.3</v>
      </c>
      <c r="G10" s="31" t="inlineStr">
        <is>
          <t>EV/S derived (÷FY24 sales ~€4.1bn); EBITDA reported (11.29x)</t>
        </is>
      </c>
      <c r="H10" s="11" t="inlineStr">
        <is>
          <t>S18</t>
        </is>
      </c>
      <c r="I10" s="31" t="inlineStr">
        <is>
          <t>Latest large branded-generics print; re-rate vs 2017</t>
        </is>
      </c>
    </row>
    <row r="11">
      <c r="A11" s="33" t="inlineStr">
        <is>
          <t>Median</t>
        </is>
      </c>
      <c r="B11" s="34" t="inlineStr"/>
      <c r="C11" s="34" t="inlineStr"/>
      <c r="D11" s="35">
        <f>MEDIAN(D5:D10)</f>
        <v/>
      </c>
      <c r="E11" s="36">
        <f>MEDIAN(E5:E10)</f>
        <v/>
      </c>
      <c r="F11" s="36">
        <f>MEDIAN(F5:F10)</f>
        <v/>
      </c>
      <c r="G11" s="34" t="inlineStr"/>
      <c r="H11" s="34" t="inlineStr"/>
      <c r="I11" s="34" t="inlineStr"/>
    </row>
    <row r="12">
      <c r="A12" s="33" t="inlineStr">
        <is>
          <t>Mean</t>
        </is>
      </c>
      <c r="B12" s="34" t="inlineStr"/>
      <c r="C12" s="34" t="inlineStr"/>
      <c r="D12" s="35">
        <f>AVERAGE(D5:D10)</f>
        <v/>
      </c>
      <c r="E12" s="36">
        <f>AVERAGE(E5:E10)</f>
        <v/>
      </c>
      <c r="F12" s="36">
        <f>AVERAGE(F5:F10)</f>
        <v/>
      </c>
      <c r="G12" s="34" t="inlineStr"/>
      <c r="H12" s="34" t="inlineStr"/>
      <c r="I12" s="34" t="inlineStr"/>
    </row>
    <row r="13">
      <c r="A13" s="3" t="inlineStr">
        <is>
          <t>n/d = not disclosed / not reliably sourced (excluded from median &amp; mean).</t>
        </is>
      </c>
    </row>
  </sheetData>
  <mergeCells count="3">
    <mergeCell ref="A1:I1"/>
    <mergeCell ref="A13:I13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5" customWidth="1" min="4" max="4"/>
    <col width="15" customWidth="1" min="5" max="5"/>
    <col width="18" customWidth="1" min="6" max="6"/>
  </cols>
  <sheetData>
    <row r="1" ht="30" customHeight="1">
      <c r="A1" s="1" t="inlineStr">
        <is>
          <t>Valuation — Implied Enterprise Value</t>
        </is>
      </c>
    </row>
    <row r="2">
      <c r="A2" s="2" t="inlineStr">
        <is>
          <t>Driven by Inputs &amp; Assumptions tab. $ in US$m; EV midpoint shown in $bn.</t>
        </is>
      </c>
    </row>
    <row r="4">
      <c r="A4" s="17" t="inlineStr">
        <is>
          <t>Nutrition</t>
        </is>
      </c>
    </row>
    <row r="5">
      <c r="A5" s="4" t="inlineStr">
        <is>
          <t>Method</t>
        </is>
      </c>
      <c r="B5" s="4" t="inlineStr">
        <is>
          <t>Multiple low</t>
        </is>
      </c>
      <c r="C5" s="4" t="inlineStr">
        <is>
          <t>Multiple high</t>
        </is>
      </c>
      <c r="D5" s="4" t="inlineStr">
        <is>
          <t>EV low ($m)</t>
        </is>
      </c>
      <c r="E5" s="4" t="inlineStr">
        <is>
          <t>EV high ($m)</t>
        </is>
      </c>
      <c r="F5" s="4" t="inlineStr">
        <is>
          <t>EV midpoint ($bn)</t>
        </is>
      </c>
    </row>
    <row r="6">
      <c r="A6" s="5" t="inlineStr">
        <is>
          <t>EV / Sales</t>
        </is>
      </c>
      <c r="B6" s="30">
        <f>'Inputs &amp; Assumptions'!B17</f>
        <v/>
      </c>
      <c r="C6" s="30">
        <f>'Inputs &amp; Assumptions'!C17</f>
        <v/>
      </c>
      <c r="D6" s="37">
        <f>'Inputs &amp; Assumptions'!B8*B6</f>
        <v/>
      </c>
      <c r="E6" s="37">
        <f>'Inputs &amp; Assumptions'!B8*C6</f>
        <v/>
      </c>
      <c r="F6" s="38">
        <f>AVERAGE(D6:E6)/1000</f>
        <v/>
      </c>
    </row>
    <row r="7">
      <c r="A7" s="5" t="inlineStr">
        <is>
          <t>EV / EBITDA</t>
        </is>
      </c>
      <c r="B7" s="30">
        <f>'Inputs &amp; Assumptions'!B18</f>
        <v/>
      </c>
      <c r="C7" s="30">
        <f>'Inputs &amp; Assumptions'!C18</f>
        <v/>
      </c>
      <c r="D7" s="37">
        <f>'Inputs &amp; Assumptions'!B12*B7</f>
        <v/>
      </c>
      <c r="E7" s="37">
        <f>'Inputs &amp; Assumptions'!B12*C7</f>
        <v/>
      </c>
      <c r="F7" s="38">
        <f>AVERAGE(D7:E7)/1000</f>
        <v/>
      </c>
    </row>
    <row r="8">
      <c r="A8" s="39" t="inlineStr">
        <is>
          <t>Blended indicative EV</t>
        </is>
      </c>
      <c r="B8" s="40" t="inlineStr"/>
      <c r="C8" s="40" t="inlineStr"/>
      <c r="D8" s="41">
        <f>MIN(D6:E7)</f>
        <v/>
      </c>
      <c r="E8" s="41">
        <f>MAX(D6:E7)</f>
        <v/>
      </c>
      <c r="F8" s="42">
        <f>AVERAGE(D8:E8)/1000</f>
        <v/>
      </c>
    </row>
    <row r="10">
      <c r="A10" s="17" t="inlineStr">
        <is>
          <t>Established Pharmaceuticals (EPD)</t>
        </is>
      </c>
    </row>
    <row r="11">
      <c r="A11" s="4" t="inlineStr">
        <is>
          <t>Method</t>
        </is>
      </c>
      <c r="B11" s="4" t="inlineStr">
        <is>
          <t>Multiple low</t>
        </is>
      </c>
      <c r="C11" s="4" t="inlineStr">
        <is>
          <t>Multiple high</t>
        </is>
      </c>
      <c r="D11" s="4" t="inlineStr">
        <is>
          <t>EV low ($m)</t>
        </is>
      </c>
      <c r="E11" s="4" t="inlineStr">
        <is>
          <t>EV high ($m)</t>
        </is>
      </c>
      <c r="F11" s="4" t="inlineStr">
        <is>
          <t>EV midpoint ($bn)</t>
        </is>
      </c>
    </row>
    <row r="12">
      <c r="A12" s="5" t="inlineStr">
        <is>
          <t>EV / Sales</t>
        </is>
      </c>
      <c r="B12" s="30">
        <f>'Inputs &amp; Assumptions'!D17</f>
        <v/>
      </c>
      <c r="C12" s="30">
        <f>'Inputs &amp; Assumptions'!E17</f>
        <v/>
      </c>
      <c r="D12" s="37">
        <f>'Inputs &amp; Assumptions'!C8*B12</f>
        <v/>
      </c>
      <c r="E12" s="37">
        <f>'Inputs &amp; Assumptions'!C8*C12</f>
        <v/>
      </c>
      <c r="F12" s="38">
        <f>AVERAGE(D12:E12)/1000</f>
        <v/>
      </c>
    </row>
    <row r="13">
      <c r="A13" s="5" t="inlineStr">
        <is>
          <t>EV / EBITDA</t>
        </is>
      </c>
      <c r="B13" s="30">
        <f>'Inputs &amp; Assumptions'!D18</f>
        <v/>
      </c>
      <c r="C13" s="30">
        <f>'Inputs &amp; Assumptions'!E18</f>
        <v/>
      </c>
      <c r="D13" s="37">
        <f>'Inputs &amp; Assumptions'!C12*B13</f>
        <v/>
      </c>
      <c r="E13" s="37">
        <f>'Inputs &amp; Assumptions'!C12*C13</f>
        <v/>
      </c>
      <c r="F13" s="38">
        <f>AVERAGE(D13:E13)/1000</f>
        <v/>
      </c>
    </row>
    <row r="14">
      <c r="A14" s="39" t="inlineStr">
        <is>
          <t>Blended indicative EV</t>
        </is>
      </c>
      <c r="B14" s="40" t="inlineStr"/>
      <c r="C14" s="40" t="inlineStr"/>
      <c r="D14" s="41">
        <f>MIN(D12:E13)</f>
        <v/>
      </c>
      <c r="E14" s="41">
        <f>MAX(D12:E13)</f>
        <v/>
      </c>
      <c r="F14" s="42">
        <f>AVERAGE(D14:E14)/1000</f>
        <v/>
      </c>
    </row>
    <row r="16">
      <c r="A16" s="17" t="inlineStr">
        <is>
          <t>Combined (Nutrition + EPD)</t>
        </is>
      </c>
    </row>
    <row r="17">
      <c r="A17" s="4" t="inlineStr"/>
      <c r="B17" s="4" t="inlineStr"/>
      <c r="C17" s="4" t="inlineStr"/>
      <c r="D17" s="4" t="inlineStr">
        <is>
          <t>EV low ($m)</t>
        </is>
      </c>
      <c r="E17" s="4" t="inlineStr">
        <is>
          <t>EV high ($m)</t>
        </is>
      </c>
      <c r="F17" s="4" t="inlineStr">
        <is>
          <t>EV midpoint ($bn)</t>
        </is>
      </c>
    </row>
    <row r="18">
      <c r="A18" s="24" t="inlineStr">
        <is>
          <t>Total indicative enterprise value</t>
        </is>
      </c>
      <c r="B18" s="27" t="inlineStr"/>
      <c r="C18" s="27" t="inlineStr"/>
      <c r="D18" s="25">
        <f>D8+D14</f>
        <v/>
      </c>
      <c r="E18" s="25">
        <f>E8+E14</f>
        <v/>
      </c>
      <c r="F18" s="43">
        <f>AVERAGE(D18:E18)/1000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40" customWidth="1" min="3" max="3"/>
    <col width="16" customWidth="1" min="4" max="4"/>
    <col width="52" customWidth="1" min="5" max="5"/>
  </cols>
  <sheetData>
    <row r="1" ht="30" customHeight="1">
      <c r="A1" s="1" t="inlineStr">
        <is>
          <t>Sources &amp; Methodology</t>
        </is>
      </c>
    </row>
    <row r="2">
      <c r="A2" s="2" t="inlineStr">
        <is>
          <t>Every figure classified REPORTED (from a primary/press source), DERIVED (calculated), or ESTIMATE (analyst judgement). Click links to verify.</t>
        </is>
      </c>
    </row>
    <row r="4">
      <c r="A4" s="17" t="inlineStr">
        <is>
          <t>A. Target financials &amp; EBITDA estimate</t>
        </is>
      </c>
    </row>
    <row r="5">
      <c r="A5" s="4" t="inlineStr">
        <is>
          <t>Ref</t>
        </is>
      </c>
      <c r="B5" s="4" t="inlineStr">
        <is>
          <t>Item / figure</t>
        </is>
      </c>
      <c r="C5" s="4" t="inlineStr">
        <is>
          <t>Value used</t>
        </is>
      </c>
      <c r="D5" s="4" t="inlineStr">
        <is>
          <t>Type</t>
        </is>
      </c>
      <c r="E5" s="4" t="inlineStr">
        <is>
          <t>Source</t>
        </is>
      </c>
    </row>
    <row r="6" ht="42" customHeight="1">
      <c r="A6" s="8" t="inlineStr">
        <is>
          <t>S1</t>
        </is>
      </c>
      <c r="B6" s="20" t="inlineStr">
        <is>
          <t>Abbott total net sales FY2024</t>
        </is>
      </c>
      <c r="C6" s="7" t="inlineStr">
        <is>
          <t>$41,950m</t>
        </is>
      </c>
      <c r="D6" s="16" t="inlineStr">
        <is>
          <t>REPORTED</t>
        </is>
      </c>
      <c r="E6" s="44" t="inlineStr">
        <is>
          <t>Abbott FY2024 Form 10-K (FY ended 31-Dec-2024)</t>
        </is>
      </c>
    </row>
    <row r="7" ht="42" customHeight="1">
      <c r="A7" s="8" t="inlineStr">
        <is>
          <t>S2</t>
        </is>
      </c>
      <c r="B7" s="20" t="inlineStr">
        <is>
          <t>Nutrition ~$8.41bn; EPD ~$5.19bn; Dx ~$9.34bn FY24 segment sales</t>
        </is>
      </c>
      <c r="C7" s="7" t="inlineStr">
        <is>
          <t>$8.41bn / $5.19bn</t>
        </is>
      </c>
      <c r="D7" s="16" t="inlineStr">
        <is>
          <t>REPORTED</t>
        </is>
      </c>
      <c r="E7" s="44" t="inlineStr">
        <is>
          <t>Abbott segment reporting (Bullfincher; Statista)</t>
        </is>
      </c>
    </row>
    <row r="8" ht="42" customHeight="1">
      <c r="A8" s="8" t="inlineStr">
        <is>
          <t>S3</t>
        </is>
      </c>
      <c r="B8" s="20" t="inlineStr">
        <is>
          <t>Segment operating margin: Nutrition 17.9%, EPD 23.7%; growth +5.9% / +9.2%</t>
        </is>
      </c>
      <c r="C8" s="7" t="inlineStr">
        <is>
          <t>17.9% / 23.7%</t>
        </is>
      </c>
      <c r="D8" s="16" t="inlineStr">
        <is>
          <t>REPORTED</t>
        </is>
      </c>
      <c r="E8" s="44" t="inlineStr">
        <is>
          <t>Abbott FY2024 10-K MD&amp;A (segment results)</t>
        </is>
      </c>
    </row>
    <row r="9" ht="42" customHeight="1">
      <c r="A9" s="8" t="inlineStr">
        <is>
          <t>S4</t>
        </is>
      </c>
      <c r="B9" s="20" t="inlineStr">
        <is>
          <t>Group D&amp;A FY24: Depreciation ~$1,340m + Amort. of intangibles ~$1,878m = ~$3,218m (~7.7% of sales). Amortization concentrated in Med Devices/Diagnostics (acquired intangibles), so Nutrition/EPD add-backs (depreciation-led) assumed below group: 3.75% / 2.75% of sales.</t>
        </is>
      </c>
      <c r="C9" s="7" t="inlineStr">
        <is>
          <t>D&amp;A add-back 3.75% / 2.75%</t>
        </is>
      </c>
      <c r="D9" s="45" t="inlineStr">
        <is>
          <t>ESTIMATE</t>
        </is>
      </c>
      <c r="E9" s="44" t="inlineStr">
        <is>
          <t>Abbott FY2024 cash-flow disclosure (per 10-Q/10-K); segment split is analyst judgement</t>
        </is>
      </c>
    </row>
    <row r="10" ht="42" customHeight="1">
      <c r="A10" s="8" t="inlineStr">
        <is>
          <t>—</t>
        </is>
      </c>
      <c r="B10" s="20" t="inlineStr">
        <is>
          <t>Implied segment operating earnings (Nutrition ~$1.50bn; EPD ~$1.23bn)</t>
        </is>
      </c>
      <c r="C10" s="7" t="inlineStr">
        <is>
          <t>sales x margin</t>
        </is>
      </c>
      <c r="D10" s="46" t="inlineStr">
        <is>
          <t>DERIVED</t>
        </is>
      </c>
      <c r="E10" s="20" t="inlineStr">
        <is>
          <t>Calculation (S2 x S3)</t>
        </is>
      </c>
    </row>
    <row r="11" ht="42" customHeight="1">
      <c r="A11" s="8" t="inlineStr">
        <is>
          <t>—</t>
        </is>
      </c>
      <c r="B11" s="20" t="inlineStr">
        <is>
          <t>Estimated segment EBITDA: Nutrition ~$1.7-1.9bn; EPD ~$1.3-1.45bn</t>
        </is>
      </c>
      <c r="C11" s="7" t="inlineStr">
        <is>
          <t>op earnings + D&amp;A</t>
        </is>
      </c>
      <c r="D11" s="45" t="inlineStr">
        <is>
          <t>ESTIMATE</t>
        </is>
      </c>
      <c r="E11" s="20" t="inlineStr">
        <is>
          <t>Calculation (operating earnings + S4 add-back)</t>
        </is>
      </c>
    </row>
    <row r="13">
      <c r="A13" s="17" t="inlineStr">
        <is>
          <t>B. Precedent transaction sources (multiples)</t>
        </is>
      </c>
    </row>
    <row r="14">
      <c r="A14" s="4" t="inlineStr">
        <is>
          <t>Ref</t>
        </is>
      </c>
      <c r="B14" s="4" t="inlineStr">
        <is>
          <t>Transaction</t>
        </is>
      </c>
      <c r="C14" s="4" t="inlineStr">
        <is>
          <t>Key reported figure</t>
        </is>
      </c>
      <c r="D14" s="4" t="inlineStr">
        <is>
          <t>Type</t>
        </is>
      </c>
      <c r="E14" s="4" t="inlineStr">
        <is>
          <t>Source</t>
        </is>
      </c>
    </row>
    <row r="15" ht="40" customHeight="1">
      <c r="A15" s="8" t="inlineStr">
        <is>
          <t>S5</t>
        </is>
      </c>
      <c r="B15" s="20" t="inlineStr">
        <is>
          <t>Comp discount rationale (Nutrition)</t>
        </is>
      </c>
      <c r="C15" s="20" t="inlineStr">
        <is>
          <t>Peak comps discounted</t>
        </is>
      </c>
      <c r="D15" s="45" t="inlineStr">
        <is>
          <t>ESTIMATE</t>
        </is>
      </c>
      <c r="E15" s="20" t="inlineStr">
        <is>
          <t>Analyst judgement — see Nutrition Comps &amp; RB/MJN coverage</t>
        </is>
      </c>
    </row>
    <row r="16" ht="40" customHeight="1">
      <c r="A16" s="8" t="inlineStr">
        <is>
          <t>S6</t>
        </is>
      </c>
      <c r="B16" s="20" t="inlineStr">
        <is>
          <t>Listed branded-generics reads: Krka ~11.5x, Hikma ~6.3x, Richter ~6x; Zentiva 10.25x, STADA 11.29x</t>
        </is>
      </c>
      <c r="C16" s="20" t="inlineStr">
        <is>
          <t>Context multiples</t>
        </is>
      </c>
      <c r="D16" s="16" t="inlineStr">
        <is>
          <t>REPORTED</t>
        </is>
      </c>
      <c r="E16" s="44" t="inlineStr">
        <is>
          <t>InterCapital — European pharma generics M&amp;A</t>
        </is>
      </c>
    </row>
    <row r="17" ht="40" customHeight="1">
      <c r="A17" s="8" t="inlineStr">
        <is>
          <t>S7</t>
        </is>
      </c>
      <c r="B17" s="20" t="inlineStr">
        <is>
          <t>Danone / Numico (2007)</t>
        </is>
      </c>
      <c r="C17" s="20" t="inlineStr">
        <is>
          <t>€12.3bn EV; ~22x EBITDA; FY06 sales €2.6bn (18.4% EBITA margin)</t>
        </is>
      </c>
      <c r="D17" s="46" t="inlineStr">
        <is>
          <t>REPORTED/DERIVED</t>
        </is>
      </c>
      <c r="E17" s="44" t="inlineStr">
        <is>
          <t>Danone analyst presentation (Jul-2007); 22x cited in RB/MJN coverage</t>
        </is>
      </c>
    </row>
    <row r="18" ht="40" customHeight="1">
      <c r="A18" s="8" t="inlineStr">
        <is>
          <t>S8</t>
        </is>
      </c>
      <c r="B18" s="20" t="inlineStr">
        <is>
          <t>Nestlé / Gerber (2007)</t>
        </is>
      </c>
      <c r="C18" s="20" t="inlineStr">
        <is>
          <t>$5.5bn EV; 15.7x FY07e EBITDA; FY07e sales $1.95bn</t>
        </is>
      </c>
      <c r="D18" s="46" t="inlineStr">
        <is>
          <t>REPORTED/DERIVED</t>
        </is>
      </c>
      <c r="E18" s="44" t="inlineStr">
        <is>
          <t>Washington Post (Apr-2007); Nestlé/Novartis releases</t>
        </is>
      </c>
    </row>
    <row r="19" ht="40" customHeight="1">
      <c r="A19" s="8" t="inlineStr">
        <is>
          <t>S9</t>
        </is>
      </c>
      <c r="B19" s="20" t="inlineStr">
        <is>
          <t>Nestlé / Pfizer Nutrition (2012)</t>
        </is>
      </c>
      <c r="C19" s="20" t="inlineStr">
        <is>
          <t>$11.85bn EV; FY11 sales $2.1bn, EBITDA $0.5bn (=23.7x); press ~20x fwd</t>
        </is>
      </c>
      <c r="D19" s="46" t="inlineStr">
        <is>
          <t>REPORTED/DERIVED</t>
        </is>
      </c>
      <c r="E19" s="44" t="inlineStr">
        <is>
          <t>Proactive Investors; Pfizer 8-K (SEC)</t>
        </is>
      </c>
    </row>
    <row r="20" ht="40" customHeight="1">
      <c r="A20" s="8" t="inlineStr">
        <is>
          <t>S10</t>
        </is>
      </c>
      <c r="B20" s="20" t="inlineStr">
        <is>
          <t>Danone / WhiteWave (2016/17)</t>
        </is>
      </c>
      <c r="C20" s="20" t="inlineStr">
        <is>
          <t>$12.5bn EV; 2.7x FY17 sales; ~19.8-20x FY16e EBITDA</t>
        </is>
      </c>
      <c r="D20" s="16" t="inlineStr">
        <is>
          <t>REPORTED</t>
        </is>
      </c>
      <c r="E20" s="44" t="inlineStr">
        <is>
          <t>FoodNavigator-USA</t>
        </is>
      </c>
    </row>
    <row r="21" ht="40" customHeight="1">
      <c r="A21" s="8" t="inlineStr">
        <is>
          <t>S11</t>
        </is>
      </c>
      <c r="B21" s="20" t="inlineStr">
        <is>
          <t>Reckitt / Mead Johnson (2017)</t>
        </is>
      </c>
      <c r="C21" s="20" t="inlineStr">
        <is>
          <t>$17.9bn EV; 4.4x FY15 sales; 17.4x FY16 EBITDA (~14x w/ syn.)</t>
        </is>
      </c>
      <c r="D21" s="16" t="inlineStr">
        <is>
          <t>REPORTED</t>
        </is>
      </c>
      <c r="E21" s="44" t="inlineStr">
        <is>
          <t>Bocconi BSIC; Mead Johnson 8-K (SEC)</t>
        </is>
      </c>
    </row>
    <row r="22" ht="40" customHeight="1">
      <c r="A22" s="8" t="inlineStr">
        <is>
          <t>S12</t>
        </is>
      </c>
      <c r="B22" s="20" t="inlineStr">
        <is>
          <t>Nestlé / The Bountiful Company (2021)</t>
        </is>
      </c>
      <c r="C22" s="20" t="inlineStr">
        <is>
          <t>$5.75bn EV; ~$2.0bn sales (=~2.9x); EBITDA n/d</t>
        </is>
      </c>
      <c r="D22" s="46" t="inlineStr">
        <is>
          <t>REPORTED/DERIVED</t>
        </is>
      </c>
      <c r="E22" s="20" t="inlineStr">
        <is>
          <t>Nestlé press (Aug-2021)</t>
        </is>
      </c>
    </row>
    <row r="23" ht="40" customHeight="1">
      <c r="A23" s="8" t="inlineStr">
        <is>
          <t>S13</t>
        </is>
      </c>
      <c r="B23" s="20" t="inlineStr">
        <is>
          <t>Sun Pharma / Ranbaxy (2014)</t>
        </is>
      </c>
      <c r="C23" s="20" t="inlineStr">
        <is>
          <t>~$4.0bn EV incl. debt; ~$1.8bn sales (=~2.2x); EBITDA n/d</t>
        </is>
      </c>
      <c r="D23" s="46" t="inlineStr">
        <is>
          <t>REPORTED/DERIVED</t>
        </is>
      </c>
      <c r="E23" s="20" t="inlineStr">
        <is>
          <t>Sun Pharma / Ranbaxy deal disclosures</t>
        </is>
      </c>
    </row>
    <row r="24" ht="40" customHeight="1">
      <c r="A24" s="8" t="inlineStr">
        <is>
          <t>S14</t>
        </is>
      </c>
      <c r="B24" s="20" t="inlineStr">
        <is>
          <t>Teva / Allergan Generics (Actavis, 2015)</t>
        </is>
      </c>
      <c r="C24" s="20" t="inlineStr">
        <is>
          <t>$40.5bn EV (closed ~$39.5bn); multiples n/d (analyst ~12-13x)</t>
        </is>
      </c>
      <c r="D24" s="16" t="inlineStr">
        <is>
          <t>REPORTED</t>
        </is>
      </c>
      <c r="E24" s="44" t="inlineStr">
        <is>
          <t>SEC Form 425 (Allergan); analyst commentary</t>
        </is>
      </c>
    </row>
    <row r="25" ht="40" customHeight="1">
      <c r="A25" s="8" t="inlineStr">
        <is>
          <t>S15</t>
        </is>
      </c>
      <c r="B25" s="20" t="inlineStr">
        <is>
          <t>Mylan / Meda (2016)</t>
        </is>
      </c>
      <c r="C25" s="20" t="inlineStr">
        <is>
          <t>$9.9bn EV; 8.9x adj. EBITDA w/ synergies; FY15 sales ~$2.3bn (=~4.0x)</t>
        </is>
      </c>
      <c r="D25" s="46" t="inlineStr">
        <is>
          <t>REPORTED/DERIVED</t>
        </is>
      </c>
      <c r="E25" s="44" t="inlineStr">
        <is>
          <t>Mylan 8-K (SEC)</t>
        </is>
      </c>
    </row>
    <row r="26" ht="40" customHeight="1">
      <c r="A26" s="8" t="inlineStr">
        <is>
          <t>S16</t>
        </is>
      </c>
      <c r="B26" s="20" t="inlineStr">
        <is>
          <t>Bain/Cinven / STADA (2017)</t>
        </is>
      </c>
      <c r="C26" s="20" t="inlineStr">
        <is>
          <t>€5.32bn EV; 13.4x FY16 EBITDA; FY16 sales €2.14bn (=~2.5x)</t>
        </is>
      </c>
      <c r="D26" s="46" t="inlineStr">
        <is>
          <t>REPORTED/DERIVED</t>
        </is>
      </c>
      <c r="E26" s="44" t="inlineStr">
        <is>
          <t>Bocconi BSIC</t>
        </is>
      </c>
    </row>
    <row r="27" ht="40" customHeight="1">
      <c r="A27" s="8" t="inlineStr">
        <is>
          <t>S17</t>
        </is>
      </c>
      <c r="B27" s="20" t="inlineStr">
        <is>
          <t>Advent / Zentiva (2018)</t>
        </is>
      </c>
      <c r="C27" s="20" t="inlineStr">
        <is>
          <t>~€1.9bn EV; ~10.25x EBITDA; ~2.5x sales</t>
        </is>
      </c>
      <c r="D27" s="46" t="inlineStr">
        <is>
          <t>REPORTED/DERIVED</t>
        </is>
      </c>
      <c r="E27" s="44" t="inlineStr">
        <is>
          <t>InterCapital</t>
        </is>
      </c>
    </row>
    <row r="28" ht="40" customHeight="1">
      <c r="A28" s="8" t="inlineStr">
        <is>
          <t>S18</t>
        </is>
      </c>
      <c r="B28" s="20" t="inlineStr">
        <is>
          <t>CapVest / STADA majority (2025)</t>
        </is>
      </c>
      <c r="C28" s="20" t="inlineStr">
        <is>
          <t>~€10bn EV reported; ~11.29x EBITDA; FY24 sales ~€4.1bn (=~2.4x)</t>
        </is>
      </c>
      <c r="D28" s="46" t="inlineStr">
        <is>
          <t>REPORTED/DERIVED</t>
        </is>
      </c>
      <c r="E28" s="44" t="inlineStr">
        <is>
          <t>Bain Capital/Cinven press; InterCapital</t>
        </is>
      </c>
    </row>
    <row r="29" ht="40" customHeight="1">
      <c r="A29" s="8" t="inlineStr">
        <is>
          <t>S19</t>
        </is>
      </c>
      <c r="B29" s="20" t="inlineStr">
        <is>
          <t>NEC infant-formula litigation overhang</t>
        </is>
      </c>
      <c r="C29" s="20" t="inlineStr">
        <is>
          <t>$495m (2024), $58-60m (2025-26) verdicts; ~683 active cases (Apr-25)</t>
        </is>
      </c>
      <c r="D29" s="16" t="inlineStr">
        <is>
          <t>REPORTED</t>
        </is>
      </c>
      <c r="E29" s="44" t="inlineStr">
        <is>
          <t>Reuters/Yahoo; Top Class Actions</t>
        </is>
      </c>
    </row>
    <row r="31" ht="42" customHeight="1">
      <c r="A31" s="3" t="inlineStr">
        <is>
          <t>Legend:  REPORTED = from a primary filing or press source  ·  DERIVED = calculated (EV ÷ sales/EBITDA)  ·  ESTIMATE = analyst judgement.  Multiples across sources may use different EBITDA definitions / years; treat as directional. Not investment advice.</t>
        </is>
      </c>
    </row>
  </sheetData>
  <mergeCells count="3">
    <mergeCell ref="A2:E2"/>
    <mergeCell ref="A1:E1"/>
    <mergeCell ref="A31:E31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4" r:id="rId11"/>
    <hyperlink xmlns:r="http://schemas.openxmlformats.org/officeDocument/2006/relationships" ref="E25" r:id="rId12"/>
    <hyperlink xmlns:r="http://schemas.openxmlformats.org/officeDocument/2006/relationships" ref="E26" r:id="rId13"/>
    <hyperlink xmlns:r="http://schemas.openxmlformats.org/officeDocument/2006/relationships" ref="E27" r:id="rId14"/>
    <hyperlink xmlns:r="http://schemas.openxmlformats.org/officeDocument/2006/relationships" ref="E28" r:id="rId15"/>
    <hyperlink xmlns:r="http://schemas.openxmlformats.org/officeDocument/2006/relationships" ref="E29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2026-06-05T05:46:17Z</dcterms:created>
  <dcterms:modified xsi:type="dcterms:W3CDTF">2026-06-05T05:46:17Z</dcterms:modified>
</cp:coreProperties>
</file>