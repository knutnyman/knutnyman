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 &amp; Assumptions" sheetId="2" state="visible" r:id="rId2"/>
    <sheet name="Nutrition Comps" sheetId="3" state="visible" r:id="rId3"/>
    <sheet name="EPD Comps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x&quot;"/>
    <numFmt numFmtId="166" formatCode="#,##0.0"/>
    <numFmt numFmtId="167" formatCode="#,##0.0&quot;bn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0000CC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6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165" fontId="7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6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Analysis</author>
  </authors>
  <commentList>
    <comment ref="A12" authorId="0" shapeId="0">
      <text>
        <t>Abbott does not publish EBITDA by segment. Estimated by adding assumed D&amp;A to disclosed segment operating earnings.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7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1" t="inlineStr">
        <is>
          <t>Abbott — Precedent Transaction Analysis</t>
        </is>
      </c>
    </row>
    <row r="2">
      <c r="A2" s="2" t="inlineStr">
        <is>
          <t>Potential divestiture of the Nutrition and Established Pharmaceuticals (EPD) businesses  •  FY2024 basis  •  Indicative / discussion draft</t>
        </is>
      </c>
    </row>
    <row r="4">
      <c r="A4" s="3" t="inlineStr">
        <is>
          <t>Headline indicative enterprise value (EV) — see Valuation tab for build, Inputs tab for assumptions.</t>
        </is>
      </c>
    </row>
    <row r="6">
      <c r="A6" s="4" t="inlineStr">
        <is>
          <t>Business</t>
        </is>
      </c>
      <c r="B6" s="4" t="inlineStr">
        <is>
          <t>FY24 Sales ($bn)</t>
        </is>
      </c>
      <c r="C6" s="4" t="inlineStr">
        <is>
          <t>Est. EBITDA ($bn)</t>
        </is>
      </c>
      <c r="D6" s="4" t="inlineStr">
        <is>
          <t>EV/Sales</t>
        </is>
      </c>
      <c r="E6" s="4" t="inlineStr">
        <is>
          <t>EV/EBITDA</t>
        </is>
      </c>
      <c r="F6" s="4" t="inlineStr">
        <is>
          <t>Indicative EV ($bn)</t>
        </is>
      </c>
    </row>
    <row r="7">
      <c r="A7" s="5" t="inlineStr">
        <is>
          <t>Nutrition</t>
        </is>
      </c>
      <c r="B7" s="6">
        <f>'Inputs &amp; Assumptions'!B8/1000</f>
        <v/>
      </c>
      <c r="C7" s="6">
        <f>'Inputs &amp; Assumptions'!B12/1000</f>
        <v/>
      </c>
      <c r="D7" s="7">
        <f>TEXT('Inputs &amp; Assumptions'!B17,"0.0")&amp;"–"&amp;TEXT('Inputs &amp; Assumptions'!C17,"0.0")&amp;"x"</f>
        <v/>
      </c>
      <c r="E7" s="7">
        <f>TEXT('Inputs &amp; Assumptions'!B18,"0.0")&amp;"–"&amp;TEXT('Inputs &amp; Assumptions'!C18,"0.0")&amp;"x"</f>
        <v/>
      </c>
      <c r="F7" s="8">
        <f>TEXT(Valuation!D8/1000,"0")&amp;"–"&amp;TEXT(Valuation!E8/1000,"0")&amp;"bn"</f>
        <v/>
      </c>
    </row>
    <row r="8">
      <c r="A8" s="9" t="inlineStr">
        <is>
          <t>Established Pharmaceuticals (EPD)</t>
        </is>
      </c>
      <c r="B8" s="10">
        <f>'Inputs &amp; Assumptions'!C8/1000</f>
        <v/>
      </c>
      <c r="C8" s="10">
        <f>'Inputs &amp; Assumptions'!C12/1000</f>
        <v/>
      </c>
      <c r="D8" s="11">
        <f>TEXT('Inputs &amp; Assumptions'!D17,"0.0")&amp;"–"&amp;TEXT('Inputs &amp; Assumptions'!E17,"0.0")&amp;"x"</f>
        <v/>
      </c>
      <c r="E8" s="11">
        <f>TEXT('Inputs &amp; Assumptions'!D18,"0.0")&amp;"–"&amp;TEXT('Inputs &amp; Assumptions'!E18,"0.0")&amp;"x"</f>
        <v/>
      </c>
      <c r="F8" s="12">
        <f>TEXT(Valuation!D14/1000,"0")&amp;"–"&amp;TEXT(Valuation!E14/1000,"0")&amp;"bn"</f>
        <v/>
      </c>
    </row>
    <row r="9">
      <c r="A9" s="13" t="inlineStr">
        <is>
          <t>Combined</t>
        </is>
      </c>
      <c r="B9" s="14">
        <f>('Inputs &amp; Assumptions'!B8+'Inputs &amp; Assumptions'!C8)/1000</f>
        <v/>
      </c>
      <c r="C9" s="14">
        <f>('Inputs &amp; Assumptions'!B12+'Inputs &amp; Assumptions'!C12)/1000</f>
        <v/>
      </c>
      <c r="D9" s="15" t="inlineStr">
        <is>
          <t>—</t>
        </is>
      </c>
      <c r="E9" s="15" t="inlineStr">
        <is>
          <t>—</t>
        </is>
      </c>
      <c r="F9" s="16">
        <f>TEXT((Valuation!D8+Valuation!D14)/1000,"0")&amp;"–"&amp;TEXT((Valuation!E8+Valuation!E14)/1000,"0")&amp;"bn"</f>
        <v/>
      </c>
    </row>
    <row r="11">
      <c r="A11" s="17" t="inlineStr">
        <is>
          <t>Key points</t>
        </is>
      </c>
    </row>
    <row r="12" ht="30" customHeight="1">
      <c r="A12" s="18" t="inlineStr">
        <is>
          <t>•  EPD is the cleaner asset — high-growth (+9.2%), high-margin (23.7%) emerging-market branded generics; sits at the premium end of the branded-generics deal range.</t>
        </is>
      </c>
    </row>
    <row r="13" ht="30" customHeight="1">
      <c r="A13" s="18" t="inlineStr">
        <is>
          <t>•  Nutrition is two-speed: attractive, growing adult/medical nutrition (Ensure, Glucerna) vs. a structurally challenged infant-formula half (Similac) carrying an NEC product-liability litigation overhang.</t>
        </is>
      </c>
    </row>
    <row r="14" ht="30" customHeight="1">
      <c r="A14" s="18" t="inlineStr">
        <is>
          <t>•  Peak infant-formula comps (Reckitt/MJN 17.4x, Nestlé/Pfizer ~20x) are discounted for Nutrition's blended mix and litigation risk.</t>
        </is>
      </c>
    </row>
    <row r="15" ht="30" customHeight="1">
      <c r="A15" s="18" t="inlineStr">
        <is>
          <t>•  Sum-of-the-parts optionality: selling adult nutrition at consumer-health multiples while ring-fencing infant formula could exceed the blended range.</t>
        </is>
      </c>
    </row>
    <row r="16" ht="30" customHeight="1">
      <c r="A16" s="18" t="inlineStr">
        <is>
          <t>•  EBITDA is ESTIMATED (Abbott discloses segment operating margin, not EBITDA). Indicative only — not investment advice; refine with carve-out QoE financials.</t>
        </is>
      </c>
    </row>
    <row r="18">
      <c r="A18" s="3" t="inlineStr">
        <is>
          <t>Tabs:  Summary  ·  Inputs &amp; Assumptions (drivers)  ·  Nutrition Comps  ·  EPD Comps  ·  Valuation (build)</t>
        </is>
      </c>
    </row>
  </sheetData>
  <mergeCells count="7">
    <mergeCell ref="A2:F2"/>
    <mergeCell ref="A16:F16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Abbott — Nutrition &amp; EPD Divestiture  |  Inputs &amp; Assumptions</t>
        </is>
      </c>
    </row>
    <row r="2">
      <c r="A2" s="2" t="inlineStr">
        <is>
          <t>Blue cells are inputs — change them and the Valuation/Summary tabs recalc. FY2024 reported segment basis. EBITDA is estimated (see notes).</t>
        </is>
      </c>
    </row>
    <row r="4">
      <c r="A4" s="3" t="inlineStr">
        <is>
          <t>Blue figures are drivers. $ figures in US$ millions unless noted.</t>
        </is>
      </c>
    </row>
    <row r="6">
      <c r="A6" s="17" t="inlineStr">
        <is>
          <t>Target sizing (FY2024)</t>
        </is>
      </c>
    </row>
    <row r="7">
      <c r="A7" s="4" t="inlineStr">
        <is>
          <t>Metric</t>
        </is>
      </c>
      <c r="B7" s="4" t="inlineStr">
        <is>
          <t>Nutrition</t>
        </is>
      </c>
      <c r="C7" s="4" t="inlineStr">
        <is>
          <t>EPD</t>
        </is>
      </c>
      <c r="D7" s="4" t="inlineStr">
        <is>
          <t>Source / note</t>
        </is>
      </c>
    </row>
    <row r="8">
      <c r="A8" s="5" t="inlineStr">
        <is>
          <t>FY24 net sales ($m)</t>
        </is>
      </c>
      <c r="B8" s="19" t="n">
        <v>8410</v>
      </c>
      <c r="C8" s="19" t="n">
        <v>5190</v>
      </c>
      <c r="D8" s="20" t="inlineStr">
        <is>
          <t>Abbott FY24 segment reporting (~$8.4bn / ~$5.2bn)</t>
        </is>
      </c>
    </row>
    <row r="9">
      <c r="A9" s="5" t="inlineStr">
        <is>
          <t>FY24 segment operating margin</t>
        </is>
      </c>
      <c r="B9" s="21" t="n">
        <v>0.179</v>
      </c>
      <c r="C9" s="21" t="n">
        <v>0.237</v>
      </c>
      <c r="D9" s="20" t="inlineStr">
        <is>
          <t>Disclosed: Nutrition 17.9%, EPD 23.7%</t>
        </is>
      </c>
    </row>
    <row r="10">
      <c r="A10" s="5" t="inlineStr">
        <is>
          <t>Assumed D&amp;A add-back (% sales)</t>
        </is>
      </c>
      <c r="B10" s="21" t="n">
        <v>0.0375</v>
      </c>
      <c r="C10" s="21" t="n">
        <v>0.0275</v>
      </c>
      <c r="D10" s="20" t="inlineStr">
        <is>
          <t>Estimate — Nutrition more capital-intensive</t>
        </is>
      </c>
    </row>
    <row r="11">
      <c r="A11" s="9" t="inlineStr">
        <is>
          <t>Implied segment operating earnings ($m)</t>
        </is>
      </c>
      <c r="B11" s="22">
        <f>B8*B9</f>
        <v/>
      </c>
      <c r="C11" s="22">
        <f>C8*C9</f>
        <v/>
      </c>
      <c r="D11" s="23">
        <f> sales x operating margin</f>
        <v/>
      </c>
    </row>
    <row r="12">
      <c r="A12" s="24" t="inlineStr">
        <is>
          <t>Estimated EBITDA ($m)</t>
        </is>
      </c>
      <c r="B12" s="25">
        <f>B8*(B9+B10)</f>
        <v/>
      </c>
      <c r="C12" s="25">
        <f>C8*(C9+C10)</f>
        <v/>
      </c>
      <c r="D12" s="26">
        <f> operating earnings + D&amp;A add-back</f>
        <v/>
      </c>
    </row>
    <row r="13">
      <c r="A13" s="27" t="inlineStr">
        <is>
          <t>Implied EBITDA margin</t>
        </is>
      </c>
      <c r="B13" s="28">
        <f>B12/B8</f>
        <v/>
      </c>
      <c r="C13" s="28">
        <f>C12/C8</f>
        <v/>
      </c>
      <c r="D13" s="27" t="inlineStr"/>
    </row>
    <row r="15">
      <c r="A15" s="17" t="inlineStr">
        <is>
          <t>Selected multiple ranges (judgement)</t>
        </is>
      </c>
    </row>
    <row r="16">
      <c r="A16" s="4" t="inlineStr">
        <is>
          <t>Multiple</t>
        </is>
      </c>
      <c r="B16" s="4" t="inlineStr">
        <is>
          <t>Nutrition low</t>
        </is>
      </c>
      <c r="C16" s="4" t="inlineStr">
        <is>
          <t>Nutrition high</t>
        </is>
      </c>
      <c r="D16" s="4" t="inlineStr">
        <is>
          <t>EPD low</t>
        </is>
      </c>
      <c r="E16" s="4" t="inlineStr">
        <is>
          <t>EPD high</t>
        </is>
      </c>
    </row>
    <row r="17">
      <c r="A17" s="5" t="inlineStr">
        <is>
          <t>EV / Sales</t>
        </is>
      </c>
      <c r="B17" s="29" t="n">
        <v>2</v>
      </c>
      <c r="C17" s="29" t="n">
        <v>3</v>
      </c>
      <c r="D17" s="29" t="n">
        <v>2.5</v>
      </c>
      <c r="E17" s="29" t="n">
        <v>3.5</v>
      </c>
    </row>
    <row r="18">
      <c r="A18" s="5" t="inlineStr">
        <is>
          <t>EV / EBITDA</t>
        </is>
      </c>
      <c r="B18" s="29" t="n">
        <v>11</v>
      </c>
      <c r="C18" s="29" t="n">
        <v>15</v>
      </c>
      <c r="D18" s="29" t="n">
        <v>11</v>
      </c>
      <c r="E18" s="29" t="n">
        <v>14</v>
      </c>
    </row>
    <row r="20">
      <c r="A20" s="17" t="inlineStr">
        <is>
          <t>Rationale</t>
        </is>
      </c>
    </row>
    <row r="21" ht="28" customHeight="1">
      <c r="A21" s="18" t="inlineStr">
        <is>
          <t>•  Nutrition: peak infant-formula comps (Reckitt/MJN 17.4x, Nestlé/Pfizer ~20x) discounted for blended adult+pediatric mix and the NEC litigation overhang.</t>
        </is>
      </c>
    </row>
    <row r="22" ht="28" customHeight="1">
      <c r="A22" s="18" t="inlineStr">
        <is>
          <t>•  EPD: premium end of branded-generics range (STADA 13.4x / Krka ~11.5x) given +9.2% growth and 23.7% margin; above mature Western generics (Hikma/Richter ~6x).</t>
        </is>
      </c>
    </row>
    <row r="23" ht="28" customHeight="1">
      <c r="A23" s="18" t="inlineStr">
        <is>
          <t>•  EBITDA is ESTIMATED — Abbott discloses segment operating margin, not EBITDA. Refine with carve-out quality-of-earnings financials.</t>
        </is>
      </c>
    </row>
  </sheetData>
  <mergeCells count="5">
    <mergeCell ref="A2:F2"/>
    <mergeCell ref="A1:F1"/>
    <mergeCell ref="A23:F23"/>
    <mergeCell ref="A22:F22"/>
    <mergeCell ref="A21:F2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11" customWidth="1" min="4" max="4"/>
    <col width="12" customWidth="1" min="5" max="5"/>
    <col width="12" customWidth="1" min="6" max="6"/>
    <col width="50" customWidth="1" min="7" max="7"/>
  </cols>
  <sheetData>
    <row r="1" ht="30" customHeight="1">
      <c r="A1" s="1" t="inlineStr">
        <is>
          <t>Nutrition Comps</t>
        </is>
      </c>
    </row>
    <row r="2">
      <c r="A2" s="2" t="inlineStr">
        <is>
          <t>Precedent transactions — infant + adult/medical nutrition. Multiples as reported by public sources; treat as directional.</t>
        </is>
      </c>
    </row>
    <row r="4">
      <c r="A4" s="4" t="inlineStr">
        <is>
          <t>Year</t>
        </is>
      </c>
      <c r="B4" s="4" t="inlineStr">
        <is>
          <t>Acquirer</t>
        </is>
      </c>
      <c r="C4" s="4" t="inlineStr">
        <is>
          <t>Target</t>
        </is>
      </c>
      <c r="D4" s="4" t="inlineStr">
        <is>
          <t>EV ($bn)</t>
        </is>
      </c>
      <c r="E4" s="4" t="inlineStr">
        <is>
          <t>EV/Sales</t>
        </is>
      </c>
      <c r="F4" s="4" t="inlineStr">
        <is>
          <t>EV/EBITDA</t>
        </is>
      </c>
      <c r="G4" s="4" t="inlineStr">
        <is>
          <t>Notes</t>
        </is>
      </c>
    </row>
    <row r="5">
      <c r="A5" s="7" t="n">
        <v>2007</v>
      </c>
      <c r="B5" s="20" t="inlineStr">
        <is>
          <t>Danone</t>
        </is>
      </c>
      <c r="C5" s="5" t="inlineStr">
        <is>
          <t>Numico</t>
        </is>
      </c>
      <c r="D5" s="6" t="n">
        <v>16.8</v>
      </c>
      <c r="E5" s="30" t="n">
        <v>4.5</v>
      </c>
      <c r="F5" s="30" t="n">
        <v>22</v>
      </c>
      <c r="G5" s="20" t="inlineStr">
        <is>
          <t>Baby + medical nutrition; peak strategic multiple</t>
        </is>
      </c>
    </row>
    <row r="6">
      <c r="A6" s="11" t="n">
        <v>2007</v>
      </c>
      <c r="B6" s="31" t="inlineStr">
        <is>
          <t>Nestlé</t>
        </is>
      </c>
      <c r="C6" s="9" t="inlineStr">
        <is>
          <t>Gerber (from Novartis)</t>
        </is>
      </c>
      <c r="D6" s="10" t="n">
        <v>5.5</v>
      </c>
      <c r="E6" s="32" t="n">
        <v>2.8</v>
      </c>
      <c r="F6" s="32" t="n">
        <v>20</v>
      </c>
      <c r="G6" s="31" t="inlineStr">
        <is>
          <t>EBITDA mult. est.; made Nestlé #1 baby food</t>
        </is>
      </c>
    </row>
    <row r="7">
      <c r="A7" s="7" t="n">
        <v>2012</v>
      </c>
      <c r="B7" s="20" t="inlineStr">
        <is>
          <t>Nestlé</t>
        </is>
      </c>
      <c r="C7" s="5" t="inlineStr">
        <is>
          <t>Pfizer Nutrition</t>
        </is>
      </c>
      <c r="D7" s="6" t="n">
        <v>11.85</v>
      </c>
      <c r="E7" s="30" t="n">
        <v>5</v>
      </c>
      <c r="F7" s="30" t="n">
        <v>22</v>
      </c>
      <c r="G7" s="20" t="inlineStr">
        <is>
          <t>~$2.1bn sales / ~$0.5bn EBITDA (2011); EM (China) entry</t>
        </is>
      </c>
    </row>
    <row r="8">
      <c r="A8" s="11" t="n">
        <v>2017</v>
      </c>
      <c r="B8" s="31" t="inlineStr">
        <is>
          <t>Danone</t>
        </is>
      </c>
      <c r="C8" s="9" t="inlineStr">
        <is>
          <t>WhiteWave</t>
        </is>
      </c>
      <c r="D8" s="10" t="n">
        <v>12.5</v>
      </c>
      <c r="E8" s="32" t="n">
        <v>2.7</v>
      </c>
      <c r="F8" s="32" t="n">
        <v>20</v>
      </c>
      <c r="G8" s="31" t="inlineStr">
        <is>
          <t>Organic/plant-based (not infant); lower-multiple bookend</t>
        </is>
      </c>
    </row>
    <row r="9">
      <c r="A9" s="7" t="n">
        <v>2017</v>
      </c>
      <c r="B9" s="20" t="inlineStr">
        <is>
          <t>Reckitt Benckiser</t>
        </is>
      </c>
      <c r="C9" s="5" t="inlineStr">
        <is>
          <t>Mead Johnson</t>
        </is>
      </c>
      <c r="D9" s="6" t="n">
        <v>17.9</v>
      </c>
      <c r="E9" s="30" t="n">
        <v>4.4</v>
      </c>
      <c r="F9" s="30" t="n">
        <v>17.4</v>
      </c>
      <c r="G9" s="20" t="inlineStr">
        <is>
          <t>Pure-play infant formula; closest single comp (~14x w/ synergies)</t>
        </is>
      </c>
    </row>
    <row r="10">
      <c r="A10" s="11" t="n">
        <v>2021</v>
      </c>
      <c r="B10" s="31" t="inlineStr">
        <is>
          <t>Nestlé</t>
        </is>
      </c>
      <c r="C10" s="9" t="inlineStr">
        <is>
          <t>The Bountiful Company</t>
        </is>
      </c>
      <c r="D10" s="10" t="n">
        <v>5.75</v>
      </c>
      <c r="E10" s="32" t="n">
        <v>2.7</v>
      </c>
      <c r="F10" s="32" t="n">
        <v>17</v>
      </c>
      <c r="G10" s="31" t="inlineStr">
        <is>
          <t>Vitamins/supplements; adult-nutrition-adjacent</t>
        </is>
      </c>
    </row>
    <row r="11">
      <c r="A11" s="33" t="inlineStr">
        <is>
          <t>Median</t>
        </is>
      </c>
      <c r="B11" s="34" t="inlineStr"/>
      <c r="C11" s="34" t="inlineStr"/>
      <c r="D11" s="35">
        <f>MEDIAN(D5:D10)</f>
        <v/>
      </c>
      <c r="E11" s="36">
        <f>MEDIAN(E5:E10)</f>
        <v/>
      </c>
      <c r="F11" s="36">
        <f>MEDIAN(F5:F10)</f>
        <v/>
      </c>
      <c r="G11" s="34" t="inlineStr"/>
    </row>
    <row r="12">
      <c r="A12" s="33" t="inlineStr">
        <is>
          <t>Mean</t>
        </is>
      </c>
      <c r="B12" s="34" t="inlineStr"/>
      <c r="C12" s="34" t="inlineStr"/>
      <c r="D12" s="35">
        <f>AVERAGE(D5:D10)</f>
        <v/>
      </c>
      <c r="E12" s="36">
        <f>AVERAGE(E5:E10)</f>
        <v/>
      </c>
      <c r="F12" s="36">
        <f>AVERAGE(F5:F10)</f>
        <v/>
      </c>
      <c r="G12" s="3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11" customWidth="1" min="4" max="4"/>
    <col width="12" customWidth="1" min="5" max="5"/>
    <col width="12" customWidth="1" min="6" max="6"/>
    <col width="50" customWidth="1" min="7" max="7"/>
  </cols>
  <sheetData>
    <row r="1" ht="30" customHeight="1">
      <c r="A1" s="1" t="inlineStr">
        <is>
          <t>EPD Comps</t>
        </is>
      </c>
    </row>
    <row r="2">
      <c r="A2" s="2" t="inlineStr">
        <is>
          <t>Precedent transactions — branded / emerging-market generics. Listed reads for context: Krka ~11.5x, Hikma ~6.3x, Richter ~6x EV/EBITDA.</t>
        </is>
      </c>
    </row>
    <row r="4">
      <c r="A4" s="4" t="inlineStr">
        <is>
          <t>Year</t>
        </is>
      </c>
      <c r="B4" s="4" t="inlineStr">
        <is>
          <t>Acquirer</t>
        </is>
      </c>
      <c r="C4" s="4" t="inlineStr">
        <is>
          <t>Target</t>
        </is>
      </c>
      <c r="D4" s="4" t="inlineStr">
        <is>
          <t>EV ($bn)</t>
        </is>
      </c>
      <c r="E4" s="4" t="inlineStr">
        <is>
          <t>EV/Sales</t>
        </is>
      </c>
      <c r="F4" s="4" t="inlineStr">
        <is>
          <t>EV/EBITDA</t>
        </is>
      </c>
      <c r="G4" s="4" t="inlineStr">
        <is>
          <t>Notes</t>
        </is>
      </c>
    </row>
    <row r="5">
      <c r="A5" s="7" t="n">
        <v>2014</v>
      </c>
      <c r="B5" s="20" t="inlineStr">
        <is>
          <t>Sun Pharma</t>
        </is>
      </c>
      <c r="C5" s="5" t="inlineStr">
        <is>
          <t>Ranbaxy</t>
        </is>
      </c>
      <c r="D5" s="6" t="n">
        <v>4</v>
      </c>
      <c r="E5" s="30" t="n">
        <v>2.2</v>
      </c>
      <c r="F5" s="30" t="n"/>
      <c r="G5" s="20" t="inlineStr">
        <is>
          <t>Incl. debt; low-margin target (EBITDA mult. n/m); India/EM</t>
        </is>
      </c>
    </row>
    <row r="6">
      <c r="A6" s="11" t="n">
        <v>2015</v>
      </c>
      <c r="B6" s="31" t="inlineStr">
        <is>
          <t>Teva</t>
        </is>
      </c>
      <c r="C6" s="9" t="inlineStr">
        <is>
          <t>Allergan Generics (Actavis)</t>
        </is>
      </c>
      <c r="D6" s="10" t="n">
        <v>40.5</v>
      </c>
      <c r="E6" s="32" t="n">
        <v>3.6</v>
      </c>
      <c r="F6" s="32" t="n">
        <v>11.5</v>
      </c>
      <c r="G6" s="31" t="inlineStr">
        <is>
          <t>EBITDA mult. est.; global generics scale</t>
        </is>
      </c>
    </row>
    <row r="7">
      <c r="A7" s="7" t="n">
        <v>2016</v>
      </c>
      <c r="B7" s="20" t="inlineStr">
        <is>
          <t>Mylan</t>
        </is>
      </c>
      <c r="C7" s="5" t="inlineStr">
        <is>
          <t>Meda</t>
        </is>
      </c>
      <c r="D7" s="6" t="n">
        <v>9.9</v>
      </c>
      <c r="E7" s="30" t="n">
        <v>3.3</v>
      </c>
      <c r="F7" s="30" t="n">
        <v>10.5</v>
      </c>
      <c r="G7" s="20" t="inlineStr">
        <is>
          <t>8.9x w/ synergies; ~10–11x reported; branded/specialty + EM/OTC</t>
        </is>
      </c>
    </row>
    <row r="8">
      <c r="A8" s="11" t="n">
        <v>2017</v>
      </c>
      <c r="B8" s="31" t="inlineStr">
        <is>
          <t>Bain / Cinven</t>
        </is>
      </c>
      <c r="C8" s="9" t="inlineStr">
        <is>
          <t>STADA</t>
        </is>
      </c>
      <c r="D8" s="10" t="n">
        <v>5.7</v>
      </c>
      <c r="E8" s="32" t="n">
        <v>2.4</v>
      </c>
      <c r="F8" s="32" t="n">
        <v>13.4</v>
      </c>
      <c r="G8" s="31" t="inlineStr">
        <is>
          <t>EUR 5.32bn; PE take-private; branded generics + consumer health</t>
        </is>
      </c>
    </row>
    <row r="9">
      <c r="A9" s="7" t="n">
        <v>2018</v>
      </c>
      <c r="B9" s="20" t="inlineStr">
        <is>
          <t>Advent</t>
        </is>
      </c>
      <c r="C9" s="5" t="inlineStr">
        <is>
          <t>Zentiva (Sanofi EU gen.)</t>
        </is>
      </c>
      <c r="D9" s="6" t="n">
        <v>2.1</v>
      </c>
      <c r="E9" s="30" t="n">
        <v>2.5</v>
      </c>
      <c r="F9" s="30" t="n">
        <v>10.3</v>
      </c>
      <c r="G9" s="20" t="inlineStr">
        <is>
          <t>EUR ~1.9bn; EU/EM branded-generics carve-out</t>
        </is>
      </c>
    </row>
    <row r="10">
      <c r="A10" s="11" t="n">
        <v>2025</v>
      </c>
      <c r="B10" s="31" t="inlineStr">
        <is>
          <t>CapVest</t>
        </is>
      </c>
      <c r="C10" s="9" t="inlineStr">
        <is>
          <t>STADA (majority stake)</t>
        </is>
      </c>
      <c r="D10" s="10" t="n">
        <v>10</v>
      </c>
      <c r="E10" s="32" t="n">
        <v>3</v>
      </c>
      <c r="F10" s="32" t="n">
        <v>11.3</v>
      </c>
      <c r="G10" s="31" t="inlineStr">
        <is>
          <t>Reported ~EUR 10bn; latest large branded-generics print</t>
        </is>
      </c>
    </row>
    <row r="11">
      <c r="A11" s="33" t="inlineStr">
        <is>
          <t>Median</t>
        </is>
      </c>
      <c r="B11" s="34" t="inlineStr"/>
      <c r="C11" s="34" t="inlineStr"/>
      <c r="D11" s="35">
        <f>MEDIAN(D5:D10)</f>
        <v/>
      </c>
      <c r="E11" s="36">
        <f>MEDIAN(E5:E10)</f>
        <v/>
      </c>
      <c r="F11" s="36">
        <f>MEDIAN(F5:F10)</f>
        <v/>
      </c>
      <c r="G11" s="34" t="inlineStr"/>
    </row>
    <row r="12">
      <c r="A12" s="33" t="inlineStr">
        <is>
          <t>Mean</t>
        </is>
      </c>
      <c r="B12" s="34" t="inlineStr"/>
      <c r="C12" s="34" t="inlineStr"/>
      <c r="D12" s="35">
        <f>AVERAGE(D5:D10)</f>
        <v/>
      </c>
      <c r="E12" s="36">
        <f>AVERAGE(E5:E10)</f>
        <v/>
      </c>
      <c r="F12" s="36">
        <f>AVERAGE(F5:F10)</f>
        <v/>
      </c>
      <c r="G12" s="3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5" customWidth="1" min="4" max="4"/>
    <col width="15" customWidth="1" min="5" max="5"/>
    <col width="18" customWidth="1" min="6" max="6"/>
  </cols>
  <sheetData>
    <row r="1" ht="30" customHeight="1">
      <c r="A1" s="1" t="inlineStr">
        <is>
          <t>Valuation — Implied Enterprise Value</t>
        </is>
      </c>
    </row>
    <row r="2">
      <c r="A2" s="2" t="inlineStr">
        <is>
          <t>Driven by Inputs &amp; Assumptions tab. $ in US$ millions; EV summary in $bn.</t>
        </is>
      </c>
    </row>
    <row r="4">
      <c r="A4" s="17" t="inlineStr">
        <is>
          <t>Nutrition</t>
        </is>
      </c>
    </row>
    <row r="5">
      <c r="A5" s="4" t="inlineStr">
        <is>
          <t>Method</t>
        </is>
      </c>
      <c r="B5" s="4" t="inlineStr">
        <is>
          <t>Multiple low</t>
        </is>
      </c>
      <c r="C5" s="4" t="inlineStr">
        <is>
          <t>Multiple high</t>
        </is>
      </c>
      <c r="D5" s="4" t="inlineStr">
        <is>
          <t>EV low ($m)</t>
        </is>
      </c>
      <c r="E5" s="4" t="inlineStr">
        <is>
          <t>EV high ($m)</t>
        </is>
      </c>
      <c r="F5" s="4" t="inlineStr">
        <is>
          <t>EV midpoint ($bn)</t>
        </is>
      </c>
    </row>
    <row r="6">
      <c r="A6" s="5" t="inlineStr">
        <is>
          <t>EV / Sales</t>
        </is>
      </c>
      <c r="B6" s="30">
        <f>'Inputs &amp; Assumptions'!B17</f>
        <v/>
      </c>
      <c r="C6" s="30">
        <f>'Inputs &amp; Assumptions'!C17</f>
        <v/>
      </c>
      <c r="D6" s="37">
        <f>'Inputs &amp; Assumptions'!B8*B6</f>
        <v/>
      </c>
      <c r="E6" s="37">
        <f>'Inputs &amp; Assumptions'!B8*C6</f>
        <v/>
      </c>
      <c r="F6" s="38">
        <f>AVERAGE(D6:E6)/1000</f>
        <v/>
      </c>
    </row>
    <row r="7">
      <c r="A7" s="5" t="inlineStr">
        <is>
          <t>EV / EBITDA</t>
        </is>
      </c>
      <c r="B7" s="30">
        <f>'Inputs &amp; Assumptions'!B18</f>
        <v/>
      </c>
      <c r="C7" s="30">
        <f>'Inputs &amp; Assumptions'!C18</f>
        <v/>
      </c>
      <c r="D7" s="37">
        <f>'Inputs &amp; Assumptions'!B12*B7</f>
        <v/>
      </c>
      <c r="E7" s="37">
        <f>'Inputs &amp; Assumptions'!B12*C7</f>
        <v/>
      </c>
      <c r="F7" s="38">
        <f>AVERAGE(D7:E7)/1000</f>
        <v/>
      </c>
    </row>
    <row r="8">
      <c r="A8" s="39" t="inlineStr">
        <is>
          <t>Blended indicative EV</t>
        </is>
      </c>
      <c r="B8" s="40" t="inlineStr"/>
      <c r="C8" s="40" t="inlineStr"/>
      <c r="D8" s="41">
        <f>MIN(D6:E7)</f>
        <v/>
      </c>
      <c r="E8" s="41">
        <f>MAX(D6:E7)</f>
        <v/>
      </c>
      <c r="F8" s="42">
        <f>AVERAGE(D8:E8)/1000</f>
        <v/>
      </c>
    </row>
    <row r="10">
      <c r="A10" s="17" t="inlineStr">
        <is>
          <t>Established Pharmaceuticals (EPD)</t>
        </is>
      </c>
    </row>
    <row r="11">
      <c r="A11" s="4" t="inlineStr">
        <is>
          <t>Method</t>
        </is>
      </c>
      <c r="B11" s="4" t="inlineStr">
        <is>
          <t>Multiple low</t>
        </is>
      </c>
      <c r="C11" s="4" t="inlineStr">
        <is>
          <t>Multiple high</t>
        </is>
      </c>
      <c r="D11" s="4" t="inlineStr">
        <is>
          <t>EV low ($m)</t>
        </is>
      </c>
      <c r="E11" s="4" t="inlineStr">
        <is>
          <t>EV high ($m)</t>
        </is>
      </c>
      <c r="F11" s="4" t="inlineStr">
        <is>
          <t>EV midpoint ($bn)</t>
        </is>
      </c>
    </row>
    <row r="12">
      <c r="A12" s="5" t="inlineStr">
        <is>
          <t>EV / Sales</t>
        </is>
      </c>
      <c r="B12" s="30">
        <f>'Inputs &amp; Assumptions'!D17</f>
        <v/>
      </c>
      <c r="C12" s="30">
        <f>'Inputs &amp; Assumptions'!E17</f>
        <v/>
      </c>
      <c r="D12" s="37">
        <f>'Inputs &amp; Assumptions'!C8*B12</f>
        <v/>
      </c>
      <c r="E12" s="37">
        <f>'Inputs &amp; Assumptions'!C8*C12</f>
        <v/>
      </c>
      <c r="F12" s="38">
        <f>AVERAGE(D12:E12)/1000</f>
        <v/>
      </c>
    </row>
    <row r="13">
      <c r="A13" s="5" t="inlineStr">
        <is>
          <t>EV / EBITDA</t>
        </is>
      </c>
      <c r="B13" s="30">
        <f>'Inputs &amp; Assumptions'!D18</f>
        <v/>
      </c>
      <c r="C13" s="30">
        <f>'Inputs &amp; Assumptions'!E18</f>
        <v/>
      </c>
      <c r="D13" s="37">
        <f>'Inputs &amp; Assumptions'!C12*B13</f>
        <v/>
      </c>
      <c r="E13" s="37">
        <f>'Inputs &amp; Assumptions'!C12*C13</f>
        <v/>
      </c>
      <c r="F13" s="38">
        <f>AVERAGE(D13:E13)/1000</f>
        <v/>
      </c>
    </row>
    <row r="14">
      <c r="A14" s="39" t="inlineStr">
        <is>
          <t>Blended indicative EV</t>
        </is>
      </c>
      <c r="B14" s="40" t="inlineStr"/>
      <c r="C14" s="40" t="inlineStr"/>
      <c r="D14" s="41">
        <f>MIN(D12:E13)</f>
        <v/>
      </c>
      <c r="E14" s="41">
        <f>MAX(D12:E13)</f>
        <v/>
      </c>
      <c r="F14" s="42">
        <f>AVERAGE(D14:E14)/1000</f>
        <v/>
      </c>
    </row>
    <row r="16">
      <c r="A16" s="17" t="inlineStr">
        <is>
          <t>Combined (Nutrition + EPD)</t>
        </is>
      </c>
    </row>
    <row r="17">
      <c r="A17" s="4" t="inlineStr"/>
      <c r="B17" s="4" t="inlineStr"/>
      <c r="C17" s="4" t="inlineStr"/>
      <c r="D17" s="4" t="inlineStr">
        <is>
          <t>EV low ($m)</t>
        </is>
      </c>
      <c r="E17" s="4" t="inlineStr">
        <is>
          <t>EV high ($m)</t>
        </is>
      </c>
      <c r="F17" s="4" t="inlineStr">
        <is>
          <t>EV midpoint ($bn)</t>
        </is>
      </c>
    </row>
    <row r="18">
      <c r="A18" s="24" t="inlineStr">
        <is>
          <t>Total indicative enterprise value</t>
        </is>
      </c>
      <c r="B18" s="27" t="inlineStr"/>
      <c r="C18" s="27" t="inlineStr"/>
      <c r="D18" s="25">
        <f>D8+D14</f>
        <v/>
      </c>
      <c r="E18" s="25">
        <f>E8+E14</f>
        <v/>
      </c>
      <c r="F18" s="43">
        <f>AVERAGE(D18:E18)/1000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2026-06-05T05:30:21Z</dcterms:created>
  <dcterms:modified xsi:type="dcterms:W3CDTF">2026-06-05T05:30:21Z</dcterms:modified>
</cp:coreProperties>
</file>